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" sheetId="1" r:id="rId1"/>
    <sheet name="Stock" sheetId="2" r:id="rId2"/>
    <sheet name="Consume" sheetId="3" r:id="rId3"/>
    <sheet name="Summary" sheetId="4" r:id="rId4"/>
    <sheet name="Physica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48.83203125" customWidth="1"/>
    <col min="2" max="2" width="18.83203125" customWidth="1"/>
  </cols>
  <sheetData>
    <row r="1">
      <c r="A1" t="str">
        <v>PAPER REEL STOCK — simple (Pama web app jaisa)</v>
      </c>
    </row>
    <row r="2">
      <c r="A2" t="str">
        <v/>
      </c>
    </row>
    <row r="3">
      <c r="A3" t="str">
        <v>Sirf 2 cheezein daily:</v>
      </c>
    </row>
    <row r="4">
      <c r="A4" t="str">
        <v>1. Stock sheet — naya reel add (blue cells). For (party/order) likho.</v>
      </c>
    </row>
    <row r="5">
      <c r="A5" t="str">
        <v>2. Consume sheet — use hui to Date + Reel No + KG + Consumed on likho.</v>
      </c>
    </row>
    <row r="6">
      <c r="A6" t="str">
        <v/>
      </c>
    </row>
    <row r="7">
      <c r="A7" t="str">
        <v>Qty Left aur Status Stock pe auto. Manual Qty Left mat badlo.</v>
      </c>
    </row>
    <row r="8">
      <c r="A8" t="str">
        <v>Full consume = Consume me poora remaining KG.</v>
      </c>
    </row>
    <row r="9">
      <c r="A9" t="str">
        <v>Consumed reels chhupane ke liye Stock pe filter Status = active / low.</v>
      </c>
    </row>
    <row r="10">
      <c r="A10" t="str">
        <v>Physical sheet print = floor check (Found / Phys. KG).</v>
      </c>
    </row>
    <row r="11">
      <c r="A11" t="str">
        <v/>
      </c>
    </row>
    <row r="12">
      <c r="A12" t="str">
        <v>Firm name</v>
      </c>
      <c r="B12" t="str">
        <v>Pama Paper</v>
      </c>
    </row>
    <row r="13">
      <c r="A13" t="str">
        <v>Low stock KG</v>
      </c>
      <c r="B13">
        <v>75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4.83203125" customWidth="1"/>
    <col min="5" max="5" width="11.83203125" customWidth="1"/>
    <col min="6" max="6" width="8.83203125" customWidth="1"/>
    <col min="7" max="7" width="6.83203125" customWidth="1"/>
    <col min="8" max="8" width="8.83203125" customWidth="1"/>
    <col min="9" max="9" width="20.83203125" customWidth="1"/>
    <col min="10" max="10" width="11.83203125" customWidth="1"/>
    <col min="11" max="11" width="10.83203125" customWidth="1"/>
    <col min="12" max="12" width="10.83203125" customWidth="1"/>
    <col min="13" max="13" width="40.83203125" customWidth="1"/>
  </cols>
  <sheetData>
    <row r="1">
      <c r="A1" t="str">
        <v>PAPER REELS — Stock (web app list jaisa)</v>
      </c>
    </row>
    <row r="2">
      <c r="A2" t="str">
        <v>Blue = type karo  ·  Qty Left / Status / Consumed on = auto  ·  Low &lt; 75 KG</v>
      </c>
    </row>
    <row r="3">
      <c r="A3" t="str">
        <v>In Date</v>
      </c>
      <c r="B3" t="str">
        <v>Reel No</v>
      </c>
      <c r="C3" t="str">
        <v>Type</v>
      </c>
      <c r="D3" t="str">
        <v>Mill</v>
      </c>
      <c r="E3" t="str">
        <v>Deckle mm</v>
      </c>
      <c r="F3" t="str">
        <v>GSM</v>
      </c>
      <c r="G3" t="str">
        <v>BF</v>
      </c>
      <c r="H3" t="str">
        <v>Color</v>
      </c>
      <c r="I3" t="str">
        <v>For (party/order)</v>
      </c>
      <c r="J3" t="str">
        <v>Opening KG</v>
      </c>
      <c r="K3" t="str">
        <v>Qty Left</v>
      </c>
      <c r="L3" t="str">
        <v>Status</v>
      </c>
      <c r="M3" t="str">
        <v>Consumed on</v>
      </c>
    </row>
    <row r="4">
      <c r="A4" t="str">
        <v>2026-08-01</v>
      </c>
      <c r="B4" t="str">
        <v>R-101</v>
      </c>
      <c r="C4" t="str">
        <v>KRAFT</v>
      </c>
      <c r="D4" t="str">
        <v>ITC Paper</v>
      </c>
      <c r="E4">
        <v>1400</v>
      </c>
      <c r="F4">
        <v>120</v>
      </c>
      <c r="G4">
        <v>18</v>
      </c>
      <c r="H4" t="str">
        <v>NS</v>
      </c>
      <c r="I4" t="str">
        <v>UK Paper · 3-ply</v>
      </c>
      <c r="J4">
        <v>520</v>
      </c>
      <c r="K4">
        <f>IF(B4="","",MAX(0,J4-SUMIF(Consume!B:B,B4,Consume!C:C)))</f>
      </c>
      <c r="L4">
        <f>IF(B4="","",IF(K4&lt;=0,"consumed",IF(K4&lt;75,"low","active")))</f>
      </c>
      <c r="M4">
        <f>IF(B4="","",IF(COUNTIF(Consume!B:B,B4)=0,"—",COUNTIF(Consume!B:B,B4)&amp;" entry · "&amp;IFERROR(LOOKUP(2,1/(Consume!B$4:B$203=B4),Consume!A$4:A$203)&amp;" · "&amp;LOOKUP(2,1/(Consume!B$4:B$203=B4),Consume!C$4:C$203)&amp;" KG · "&amp;LOOKUP(2,1/(Consume!B$4:B$203=B4),Consume!D$4:D$203),"")))</f>
      </c>
    </row>
    <row r="5">
      <c r="A5" t="str">
        <v>2026-08-01</v>
      </c>
      <c r="B5" t="str">
        <v>R-102</v>
      </c>
      <c r="C5" t="str">
        <v>KRAFT</v>
      </c>
      <c r="D5" t="str">
        <v>ITC Paper</v>
      </c>
      <c r="E5">
        <v>1400</v>
      </c>
      <c r="F5">
        <v>120</v>
      </c>
      <c r="G5">
        <v>18</v>
      </c>
      <c r="H5" t="str">
        <v>NS</v>
      </c>
      <c r="I5" t="str">
        <v/>
      </c>
      <c r="J5">
        <v>510</v>
      </c>
      <c r="K5">
        <f>IF(B5="","",MAX(0,J5-SUMIF(Consume!B:B,B5,Consume!C:C)))</f>
      </c>
      <c r="L5">
        <f>IF(B5="","",IF(K5&lt;=0,"consumed",IF(K5&lt;75,"low","active")))</f>
      </c>
      <c r="M5">
        <f>IF(B5="","",IF(COUNTIF(Consume!B:B,B5)=0,"—",COUNTIF(Consume!B:B,B5)&amp;" entry · "&amp;IFERROR(LOOKUP(2,1/(Consume!B$4:B$203=B5),Consume!A$4:A$203)&amp;" · "&amp;LOOKUP(2,1/(Consume!B$4:B$203=B5),Consume!C$4:C$203)&amp;" KG · "&amp;LOOKUP(2,1/(Consume!B$4:B$203=B5),Consume!D$4:D$203),"")))</f>
      </c>
    </row>
    <row r="6">
      <c r="A6" t="str">
        <v>2026-08-03</v>
      </c>
      <c r="B6" t="str">
        <v>R-103</v>
      </c>
      <c r="C6" t="str">
        <v>KRAFT</v>
      </c>
      <c r="D6" t="str">
        <v>JK Paper</v>
      </c>
      <c r="E6">
        <v>1600</v>
      </c>
      <c r="F6">
        <v>140</v>
      </c>
      <c r="G6">
        <v>20</v>
      </c>
      <c r="H6" t="str">
        <v>NS</v>
      </c>
      <c r="I6" t="str">
        <v>Job pending</v>
      </c>
      <c r="J6">
        <v>610</v>
      </c>
      <c r="K6">
        <f>IF(B6="","",MAX(0,J6-SUMIF(Consume!B:B,B6,Consume!C:C)))</f>
      </c>
      <c r="L6">
        <f>IF(B6="","",IF(K6&lt;=0,"consumed",IF(K6&lt;75,"low","active")))</f>
      </c>
      <c r="M6">
        <f>IF(B6="","",IF(COUNTIF(Consume!B:B,B6)=0,"—",COUNTIF(Consume!B:B,B6)&amp;" entry · "&amp;IFERROR(LOOKUP(2,1/(Consume!B$4:B$203=B6),Consume!A$4:A$203)&amp;" · "&amp;LOOKUP(2,1/(Consume!B$4:B$203=B6),Consume!C$4:C$203)&amp;" KG · "&amp;LOOKUP(2,1/(Consume!B$4:B$203=B6),Consume!D$4:D$203),"")))</f>
      </c>
    </row>
    <row r="7">
      <c r="A7" t="str">
        <v>2026-08-05</v>
      </c>
      <c r="B7" t="str">
        <v>R-104</v>
      </c>
      <c r="C7" t="str">
        <v>DUPLEX</v>
      </c>
      <c r="D7" t="str">
        <v>West Coast</v>
      </c>
      <c r="E7">
        <v>1200</v>
      </c>
      <c r="F7">
        <v>230</v>
      </c>
      <c r="G7">
        <v>18</v>
      </c>
      <c r="H7" t="str">
        <v>GY</v>
      </c>
      <c r="I7" t="str">
        <v>Acme boxes</v>
      </c>
      <c r="J7">
        <v>480</v>
      </c>
      <c r="K7">
        <f>IF(B7="","",MAX(0,J7-SUMIF(Consume!B:B,B7,Consume!C:C)))</f>
      </c>
      <c r="L7">
        <f>IF(B7="","",IF(K7&lt;=0,"consumed",IF(K7&lt;75,"low","active")))</f>
      </c>
      <c r="M7">
        <f>IF(B7="","",IF(COUNTIF(Consume!B:B,B7)=0,"—",COUNTIF(Consume!B:B,B7)&amp;" entry · "&amp;IFERROR(LOOKUP(2,1/(Consume!B$4:B$203=B7),Consume!A$4:A$203)&amp;" · "&amp;LOOKUP(2,1/(Consume!B$4:B$203=B7),Consume!C$4:C$203)&amp;" KG · "&amp;LOOKUP(2,1/(Consume!B$4:B$203=B7),Consume!D$4:D$203),"")))</f>
      </c>
    </row>
    <row r="8">
      <c r="A8" t="str">
        <v>2026-08-05</v>
      </c>
      <c r="B8" t="str">
        <v>R-105</v>
      </c>
      <c r="C8" t="str">
        <v>DUPLEX</v>
      </c>
      <c r="D8" t="str">
        <v>West Coast</v>
      </c>
      <c r="E8">
        <v>1200</v>
      </c>
      <c r="F8">
        <v>230</v>
      </c>
      <c r="G8">
        <v>18</v>
      </c>
      <c r="H8" t="str">
        <v>GY</v>
      </c>
      <c r="I8" t="str">
        <v>Acme boxes</v>
      </c>
      <c r="J8">
        <v>220</v>
      </c>
      <c r="K8">
        <f>IF(B8="","",MAX(0,J8-SUMIF(Consume!B:B,B8,Consume!C:C)))</f>
      </c>
      <c r="L8">
        <f>IF(B8="","",IF(K8&lt;=0,"consumed",IF(K8&lt;75,"low","active")))</f>
      </c>
      <c r="M8">
        <f>IF(B8="","",IF(COUNTIF(Consume!B:B,B8)=0,"—",COUNTIF(Consume!B:B,B8)&amp;" entry · "&amp;IFERROR(LOOKUP(2,1/(Consume!B$4:B$203=B8),Consume!A$4:A$203)&amp;" · "&amp;LOOKUP(2,1/(Consume!B$4:B$203=B8),Consume!C$4:C$203)&amp;" KG · "&amp;LOOKUP(2,1/(Consume!B$4:B$203=B8),Consume!D$4:D$203),"")))</f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f>IF(B9="","",MAX(0,J9-SUMIF(Consume!B:B,B9,Consume!C:C)))</f>
      </c>
      <c r="L9">
        <f>IF(B9="","",IF(K9&lt;=0,"consumed",IF(K9&lt;75,"low","active")))</f>
      </c>
      <c r="M9">
        <f>IF(B9="","",IF(COUNTIF(Consume!B:B,B9)=0,"—",COUNTIF(Consume!B:B,B9)&amp;" entry · "&amp;IFERROR(LOOKUP(2,1/(Consume!B$4:B$203=B9),Consume!A$4:A$203)&amp;" · "&amp;LOOKUP(2,1/(Consume!B$4:B$203=B9),Consume!C$4:C$203)&amp;" KG · "&amp;LOOKUP(2,1/(Consume!B$4:B$203=B9),Consume!D$4:D$203),"")))</f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f>IF(B10="","",MAX(0,J10-SUMIF(Consume!B:B,B10,Consume!C:C)))</f>
      </c>
      <c r="L10">
        <f>IF(B10="","",IF(K10&lt;=0,"consumed",IF(K10&lt;75,"low","active")))</f>
      </c>
      <c r="M10">
        <f>IF(B10="","",IF(COUNTIF(Consume!B:B,B10)=0,"—",COUNTIF(Consume!B:B,B10)&amp;" entry · "&amp;IFERROR(LOOKUP(2,1/(Consume!B$4:B$203=B10),Consume!A$4:A$203)&amp;" · "&amp;LOOKUP(2,1/(Consume!B$4:B$203=B10),Consume!C$4:C$203)&amp;" KG · "&amp;LOOKUP(2,1/(Consume!B$4:B$203=B10),Consume!D$4:D$203),"")))</f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f>IF(B11="","",MAX(0,J11-SUMIF(Consume!B:B,B11,Consume!C:C)))</f>
      </c>
      <c r="L11">
        <f>IF(B11="","",IF(K11&lt;=0,"consumed",IF(K11&lt;75,"low","active")))</f>
      </c>
      <c r="M11">
        <f>IF(B11="","",IF(COUNTIF(Consume!B:B,B11)=0,"—",COUNTIF(Consume!B:B,B11)&amp;" entry · "&amp;IFERROR(LOOKUP(2,1/(Consume!B$4:B$203=B11),Consume!A$4:A$203)&amp;" · "&amp;LOOKUP(2,1/(Consume!B$4:B$203=B11),Consume!C$4:C$203)&amp;" KG · "&amp;LOOKUP(2,1/(Consume!B$4:B$203=B11),Consume!D$4:D$203),"")))</f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>
        <f>IF(B12="","",MAX(0,J12-SUMIF(Consume!B:B,B12,Consume!C:C)))</f>
      </c>
      <c r="L12">
        <f>IF(B12="","",IF(K12&lt;=0,"consumed",IF(K12&lt;75,"low","active")))</f>
      </c>
      <c r="M12">
        <f>IF(B12="","",IF(COUNTIF(Consume!B:B,B12)=0,"—",COUNTIF(Consume!B:B,B12)&amp;" entry · "&amp;IFERROR(LOOKUP(2,1/(Consume!B$4:B$203=B12),Consume!A$4:A$203)&amp;" · "&amp;LOOKUP(2,1/(Consume!B$4:B$203=B12),Consume!C$4:C$203)&amp;" KG · "&amp;LOOKUP(2,1/(Consume!B$4:B$203=B12),Consume!D$4:D$203),"")))</f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f>IF(B13="","",MAX(0,J13-SUMIF(Consume!B:B,B13,Consume!C:C)))</f>
      </c>
      <c r="L13">
        <f>IF(B13="","",IF(K13&lt;=0,"consumed",IF(K13&lt;75,"low","active")))</f>
      </c>
      <c r="M13">
        <f>IF(B13="","",IF(COUNTIF(Consume!B:B,B13)=0,"—",COUNTIF(Consume!B:B,B13)&amp;" entry · "&amp;IFERROR(LOOKUP(2,1/(Consume!B$4:B$203=B13),Consume!A$4:A$203)&amp;" · "&amp;LOOKUP(2,1/(Consume!B$4:B$203=B13),Consume!C$4:C$203)&amp;" KG · "&amp;LOOKUP(2,1/(Consume!B$4:B$203=B13),Consume!D$4:D$203),"")))</f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>
        <f>IF(B14="","",MAX(0,J14-SUMIF(Consume!B:B,B14,Consume!C:C)))</f>
      </c>
      <c r="L14">
        <f>IF(B14="","",IF(K14&lt;=0,"consumed",IF(K14&lt;75,"low","active")))</f>
      </c>
      <c r="M14">
        <f>IF(B14="","",IF(COUNTIF(Consume!B:B,B14)=0,"—",COUNTIF(Consume!B:B,B14)&amp;" entry · "&amp;IFERROR(LOOKUP(2,1/(Consume!B$4:B$203=B14),Consume!A$4:A$203)&amp;" · "&amp;LOOKUP(2,1/(Consume!B$4:B$203=B14),Consume!C$4:C$203)&amp;" KG · "&amp;LOOKUP(2,1/(Consume!B$4:B$203=B14),Consume!D$4:D$203),"")))</f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f>IF(B15="","",MAX(0,J15-SUMIF(Consume!B:B,B15,Consume!C:C)))</f>
      </c>
      <c r="L15">
        <f>IF(B15="","",IF(K15&lt;=0,"consumed",IF(K15&lt;75,"low","active")))</f>
      </c>
      <c r="M15">
        <f>IF(B15="","",IF(COUNTIF(Consume!B:B,B15)=0,"—",COUNTIF(Consume!B:B,B15)&amp;" entry · "&amp;IFERROR(LOOKUP(2,1/(Consume!B$4:B$203=B15),Consume!A$4:A$203)&amp;" · "&amp;LOOKUP(2,1/(Consume!B$4:B$203=B15),Consume!C$4:C$203)&amp;" KG · "&amp;LOOKUP(2,1/(Consume!B$4:B$203=B15),Consume!D$4:D$203),"")))</f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f>IF(B16="","",MAX(0,J16-SUMIF(Consume!B:B,B16,Consume!C:C)))</f>
      </c>
      <c r="L16">
        <f>IF(B16="","",IF(K16&lt;=0,"consumed",IF(K16&lt;75,"low","active")))</f>
      </c>
      <c r="M16">
        <f>IF(B16="","",IF(COUNTIF(Consume!B:B,B16)=0,"—",COUNTIF(Consume!B:B,B16)&amp;" entry · "&amp;IFERROR(LOOKUP(2,1/(Consume!B$4:B$203=B16),Consume!A$4:A$203)&amp;" · "&amp;LOOKUP(2,1/(Consume!B$4:B$203=B16),Consume!C$4:C$203)&amp;" KG · "&amp;LOOKUP(2,1/(Consume!B$4:B$203=B16),Consume!D$4:D$203),"")))</f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f>IF(B17="","",MAX(0,J17-SUMIF(Consume!B:B,B17,Consume!C:C)))</f>
      </c>
      <c r="L17">
        <f>IF(B17="","",IF(K17&lt;=0,"consumed",IF(K17&lt;75,"low","active")))</f>
      </c>
      <c r="M17">
        <f>IF(B17="","",IF(COUNTIF(Consume!B:B,B17)=0,"—",COUNTIF(Consume!B:B,B17)&amp;" entry · "&amp;IFERROR(LOOKUP(2,1/(Consume!B$4:B$203=B17),Consume!A$4:A$203)&amp;" · "&amp;LOOKUP(2,1/(Consume!B$4:B$203=B17),Consume!C$4:C$203)&amp;" KG · "&amp;LOOKUP(2,1/(Consume!B$4:B$203=B17),Consume!D$4:D$203),"")))</f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f>IF(B18="","",MAX(0,J18-SUMIF(Consume!B:B,B18,Consume!C:C)))</f>
      </c>
      <c r="L18">
        <f>IF(B18="","",IF(K18&lt;=0,"consumed",IF(K18&lt;75,"low","active")))</f>
      </c>
      <c r="M18">
        <f>IF(B18="","",IF(COUNTIF(Consume!B:B,B18)=0,"—",COUNTIF(Consume!B:B,B18)&amp;" entry · "&amp;IFERROR(LOOKUP(2,1/(Consume!B$4:B$203=B18),Consume!A$4:A$203)&amp;" · "&amp;LOOKUP(2,1/(Consume!B$4:B$203=B18),Consume!C$4:C$203)&amp;" KG · "&amp;LOOKUP(2,1/(Consume!B$4:B$203=B18),Consume!D$4:D$203),"")))</f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f>IF(B19="","",MAX(0,J19-SUMIF(Consume!B:B,B19,Consume!C:C)))</f>
      </c>
      <c r="L19">
        <f>IF(B19="","",IF(K19&lt;=0,"consumed",IF(K19&lt;75,"low","active")))</f>
      </c>
      <c r="M19">
        <f>IF(B19="","",IF(COUNTIF(Consume!B:B,B19)=0,"—",COUNTIF(Consume!B:B,B19)&amp;" entry · "&amp;IFERROR(LOOKUP(2,1/(Consume!B$4:B$203=B19),Consume!A$4:A$203)&amp;" · "&amp;LOOKUP(2,1/(Consume!B$4:B$203=B19),Consume!C$4:C$203)&amp;" KG · "&amp;LOOKUP(2,1/(Consume!B$4:B$203=B19),Consume!D$4:D$203),"")))</f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>
        <f>IF(B20="","",MAX(0,J20-SUMIF(Consume!B:B,B20,Consume!C:C)))</f>
      </c>
      <c r="L20">
        <f>IF(B20="","",IF(K20&lt;=0,"consumed",IF(K20&lt;75,"low","active")))</f>
      </c>
      <c r="M20">
        <f>IF(B20="","",IF(COUNTIF(Consume!B:B,B20)=0,"—",COUNTIF(Consume!B:B,B20)&amp;" entry · "&amp;IFERROR(LOOKUP(2,1/(Consume!B$4:B$203=B20),Consume!A$4:A$203)&amp;" · "&amp;LOOKUP(2,1/(Consume!B$4:B$203=B20),Consume!C$4:C$203)&amp;" KG · "&amp;LOOKUP(2,1/(Consume!B$4:B$203=B20),Consume!D$4:D$203),"")))</f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f>IF(B21="","",MAX(0,J21-SUMIF(Consume!B:B,B21,Consume!C:C)))</f>
      </c>
      <c r="L21">
        <f>IF(B21="","",IF(K21&lt;=0,"consumed",IF(K21&lt;75,"low","active")))</f>
      </c>
      <c r="M21">
        <f>IF(B21="","",IF(COUNTIF(Consume!B:B,B21)=0,"—",COUNTIF(Consume!B:B,B21)&amp;" entry · "&amp;IFERROR(LOOKUP(2,1/(Consume!B$4:B$203=B21),Consume!A$4:A$203)&amp;" · "&amp;LOOKUP(2,1/(Consume!B$4:B$203=B21),Consume!C$4:C$203)&amp;" KG · "&amp;LOOKUP(2,1/(Consume!B$4:B$203=B21),Consume!D$4:D$203),"")))</f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>
        <f>IF(B22="","",MAX(0,J22-SUMIF(Consume!B:B,B22,Consume!C:C)))</f>
      </c>
      <c r="L22">
        <f>IF(B22="","",IF(K22&lt;=0,"consumed",IF(K22&lt;75,"low","active")))</f>
      </c>
      <c r="M22">
        <f>IF(B22="","",IF(COUNTIF(Consume!B:B,B22)=0,"—",COUNTIF(Consume!B:B,B22)&amp;" entry · "&amp;IFERROR(LOOKUP(2,1/(Consume!B$4:B$203=B22),Consume!A$4:A$203)&amp;" · "&amp;LOOKUP(2,1/(Consume!B$4:B$203=B22),Consume!C$4:C$203)&amp;" KG · "&amp;LOOKUP(2,1/(Consume!B$4:B$203=B22),Consume!D$4:D$203),"")))</f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>
        <f>IF(B23="","",MAX(0,J23-SUMIF(Consume!B:B,B23,Consume!C:C)))</f>
      </c>
      <c r="L23">
        <f>IF(B23="","",IF(K23&lt;=0,"consumed",IF(K23&lt;75,"low","active")))</f>
      </c>
      <c r="M23">
        <f>IF(B23="","",IF(COUNTIF(Consume!B:B,B23)=0,"—",COUNTIF(Consume!B:B,B23)&amp;" entry · "&amp;IFERROR(LOOKUP(2,1/(Consume!B$4:B$203=B23),Consume!A$4:A$203)&amp;" · "&amp;LOOKUP(2,1/(Consume!B$4:B$203=B23),Consume!C$4:C$203)&amp;" KG · "&amp;LOOKUP(2,1/(Consume!B$4:B$203=B23),Consume!D$4:D$203),"")))</f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f>IF(B24="","",MAX(0,J24-SUMIF(Consume!B:B,B24,Consume!C:C)))</f>
      </c>
      <c r="L24">
        <f>IF(B24="","",IF(K24&lt;=0,"consumed",IF(K24&lt;75,"low","active")))</f>
      </c>
      <c r="M24">
        <f>IF(B24="","",IF(COUNTIF(Consume!B:B,B24)=0,"—",COUNTIF(Consume!B:B,B24)&amp;" entry · "&amp;IFERROR(LOOKUP(2,1/(Consume!B$4:B$203=B24),Consume!A$4:A$203)&amp;" · "&amp;LOOKUP(2,1/(Consume!B$4:B$203=B24),Consume!C$4:C$203)&amp;" KG · "&amp;LOOKUP(2,1/(Consume!B$4:B$203=B24),Consume!D$4:D$203),"")))</f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f>IF(B25="","",MAX(0,J25-SUMIF(Consume!B:B,B25,Consume!C:C)))</f>
      </c>
      <c r="L25">
        <f>IF(B25="","",IF(K25&lt;=0,"consumed",IF(K25&lt;75,"low","active")))</f>
      </c>
      <c r="M25">
        <f>IF(B25="","",IF(COUNTIF(Consume!B:B,B25)=0,"—",COUNTIF(Consume!B:B,B25)&amp;" entry · "&amp;IFERROR(LOOKUP(2,1/(Consume!B$4:B$203=B25),Consume!A$4:A$203)&amp;" · "&amp;LOOKUP(2,1/(Consume!B$4:B$203=B25),Consume!C$4:C$203)&amp;" KG · "&amp;LOOKUP(2,1/(Consume!B$4:B$203=B25),Consume!D$4:D$203),"")))</f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f>IF(B26="","",MAX(0,J26-SUMIF(Consume!B:B,B26,Consume!C:C)))</f>
      </c>
      <c r="L26">
        <f>IF(B26="","",IF(K26&lt;=0,"consumed",IF(K26&lt;75,"low","active")))</f>
      </c>
      <c r="M26">
        <f>IF(B26="","",IF(COUNTIF(Consume!B:B,B26)=0,"—",COUNTIF(Consume!B:B,B26)&amp;" entry · "&amp;IFERROR(LOOKUP(2,1/(Consume!B$4:B$203=B26),Consume!A$4:A$203)&amp;" · "&amp;LOOKUP(2,1/(Consume!B$4:B$203=B26),Consume!C$4:C$203)&amp;" KG · "&amp;LOOKUP(2,1/(Consume!B$4:B$203=B26),Consume!D$4:D$203),"")))</f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f>IF(B27="","",MAX(0,J27-SUMIF(Consume!B:B,B27,Consume!C:C)))</f>
      </c>
      <c r="L27">
        <f>IF(B27="","",IF(K27&lt;=0,"consumed",IF(K27&lt;75,"low","active")))</f>
      </c>
      <c r="M27">
        <f>IF(B27="","",IF(COUNTIF(Consume!B:B,B27)=0,"—",COUNTIF(Consume!B:B,B27)&amp;" entry · "&amp;IFERROR(LOOKUP(2,1/(Consume!B$4:B$203=B27),Consume!A$4:A$203)&amp;" · "&amp;LOOKUP(2,1/(Consume!B$4:B$203=B27),Consume!C$4:C$203)&amp;" KG · "&amp;LOOKUP(2,1/(Consume!B$4:B$203=B27),Consume!D$4:D$203),"")))</f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f>IF(B28="","",MAX(0,J28-SUMIF(Consume!B:B,B28,Consume!C:C)))</f>
      </c>
      <c r="L28">
        <f>IF(B28="","",IF(K28&lt;=0,"consumed",IF(K28&lt;75,"low","active")))</f>
      </c>
      <c r="M28">
        <f>IF(B28="","",IF(COUNTIF(Consume!B:B,B28)=0,"—",COUNTIF(Consume!B:B,B28)&amp;" entry · "&amp;IFERROR(LOOKUP(2,1/(Consume!B$4:B$203=B28),Consume!A$4:A$203)&amp;" · "&amp;LOOKUP(2,1/(Consume!B$4:B$203=B28),Consume!C$4:C$203)&amp;" KG · "&amp;LOOKUP(2,1/(Consume!B$4:B$203=B28),Consume!D$4:D$203),"")))</f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>
        <f>IF(B29="","",MAX(0,J29-SUMIF(Consume!B:B,B29,Consume!C:C)))</f>
      </c>
      <c r="L29">
        <f>IF(B29="","",IF(K29&lt;=0,"consumed",IF(K29&lt;75,"low","active")))</f>
      </c>
      <c r="M29">
        <f>IF(B29="","",IF(COUNTIF(Consume!B:B,B29)=0,"—",COUNTIF(Consume!B:B,B29)&amp;" entry · "&amp;IFERROR(LOOKUP(2,1/(Consume!B$4:B$203=B29),Consume!A$4:A$203)&amp;" · "&amp;LOOKUP(2,1/(Consume!B$4:B$203=B29),Consume!C$4:C$203)&amp;" KG · "&amp;LOOKUP(2,1/(Consume!B$4:B$203=B29),Consume!D$4:D$203),"")))</f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f>IF(B30="","",MAX(0,J30-SUMIF(Consume!B:B,B30,Consume!C:C)))</f>
      </c>
      <c r="L30">
        <f>IF(B30="","",IF(K30&lt;=0,"consumed",IF(K30&lt;75,"low","active")))</f>
      </c>
      <c r="M30">
        <f>IF(B30="","",IF(COUNTIF(Consume!B:B,B30)=0,"—",COUNTIF(Consume!B:B,B30)&amp;" entry · "&amp;IFERROR(LOOKUP(2,1/(Consume!B$4:B$203=B30),Consume!A$4:A$203)&amp;" · "&amp;LOOKUP(2,1/(Consume!B$4:B$203=B30),Consume!C$4:C$203)&amp;" KG · "&amp;LOOKUP(2,1/(Consume!B$4:B$203=B30),Consume!D$4:D$203),"")))</f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f>IF(B31="","",MAX(0,J31-SUMIF(Consume!B:B,B31,Consume!C:C)))</f>
      </c>
      <c r="L31">
        <f>IF(B31="","",IF(K31&lt;=0,"consumed",IF(K31&lt;75,"low","active")))</f>
      </c>
      <c r="M31">
        <f>IF(B31="","",IF(COUNTIF(Consume!B:B,B31)=0,"—",COUNTIF(Consume!B:B,B31)&amp;" entry · "&amp;IFERROR(LOOKUP(2,1/(Consume!B$4:B$203=B31),Consume!A$4:A$203)&amp;" · "&amp;LOOKUP(2,1/(Consume!B$4:B$203=B31),Consume!C$4:C$203)&amp;" KG · "&amp;LOOKUP(2,1/(Consume!B$4:B$203=B31),Consume!D$4:D$203),"")))</f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f>IF(B32="","",MAX(0,J32-SUMIF(Consume!B:B,B32,Consume!C:C)))</f>
      </c>
      <c r="L32">
        <f>IF(B32="","",IF(K32&lt;=0,"consumed",IF(K32&lt;75,"low","active")))</f>
      </c>
      <c r="M32">
        <f>IF(B32="","",IF(COUNTIF(Consume!B:B,B32)=0,"—",COUNTIF(Consume!B:B,B32)&amp;" entry · "&amp;IFERROR(LOOKUP(2,1/(Consume!B$4:B$203=B32),Consume!A$4:A$203)&amp;" · "&amp;LOOKUP(2,1/(Consume!B$4:B$203=B32),Consume!C$4:C$203)&amp;" KG · "&amp;LOOKUP(2,1/(Consume!B$4:B$203=B32),Consume!D$4:D$203),"")))</f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>
        <f>IF(B33="","",MAX(0,J33-SUMIF(Consume!B:B,B33,Consume!C:C)))</f>
      </c>
      <c r="L33">
        <f>IF(B33="","",IF(K33&lt;=0,"consumed",IF(K33&lt;75,"low","active")))</f>
      </c>
      <c r="M33">
        <f>IF(B33="","",IF(COUNTIF(Consume!B:B,B33)=0,"—",COUNTIF(Consume!B:B,B33)&amp;" entry · "&amp;IFERROR(LOOKUP(2,1/(Consume!B$4:B$203=B33),Consume!A$4:A$203)&amp;" · "&amp;LOOKUP(2,1/(Consume!B$4:B$203=B33),Consume!C$4:C$203)&amp;" KG · "&amp;LOOKUP(2,1/(Consume!B$4:B$203=B33),Consume!D$4:D$203),"")))</f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f>IF(B34="","",MAX(0,J34-SUMIF(Consume!B:B,B34,Consume!C:C)))</f>
      </c>
      <c r="L34">
        <f>IF(B34="","",IF(K34&lt;=0,"consumed",IF(K34&lt;75,"low","active")))</f>
      </c>
      <c r="M34">
        <f>IF(B34="","",IF(COUNTIF(Consume!B:B,B34)=0,"—",COUNTIF(Consume!B:B,B34)&amp;" entry · "&amp;IFERROR(LOOKUP(2,1/(Consume!B$4:B$203=B34),Consume!A$4:A$203)&amp;" · "&amp;LOOKUP(2,1/(Consume!B$4:B$203=B34),Consume!C$4:C$203)&amp;" KG · "&amp;LOOKUP(2,1/(Consume!B$4:B$203=B34),Consume!D$4:D$203),"")))</f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f>IF(B35="","",MAX(0,J35-SUMIF(Consume!B:B,B35,Consume!C:C)))</f>
      </c>
      <c r="L35">
        <f>IF(B35="","",IF(K35&lt;=0,"consumed",IF(K35&lt;75,"low","active")))</f>
      </c>
      <c r="M35">
        <f>IF(B35="","",IF(COUNTIF(Consume!B:B,B35)=0,"—",COUNTIF(Consume!B:B,B35)&amp;" entry · "&amp;IFERROR(LOOKUP(2,1/(Consume!B$4:B$203=B35),Consume!A$4:A$203)&amp;" · "&amp;LOOKUP(2,1/(Consume!B$4:B$203=B35),Consume!C$4:C$203)&amp;" KG · "&amp;LOOKUP(2,1/(Consume!B$4:B$203=B35),Consume!D$4:D$203),"")))</f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>
        <f>IF(B36="","",MAX(0,J36-SUMIF(Consume!B:B,B36,Consume!C:C)))</f>
      </c>
      <c r="L36">
        <f>IF(B36="","",IF(K36&lt;=0,"consumed",IF(K36&lt;75,"low","active")))</f>
      </c>
      <c r="M36">
        <f>IF(B36="","",IF(COUNTIF(Consume!B:B,B36)=0,"—",COUNTIF(Consume!B:B,B36)&amp;" entry · "&amp;IFERROR(LOOKUP(2,1/(Consume!B$4:B$203=B36),Consume!A$4:A$203)&amp;" · "&amp;LOOKUP(2,1/(Consume!B$4:B$203=B36),Consume!C$4:C$203)&amp;" KG · "&amp;LOOKUP(2,1/(Consume!B$4:B$203=B36),Consume!D$4:D$203),"")))</f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f>IF(B37="","",MAX(0,J37-SUMIF(Consume!B:B,B37,Consume!C:C)))</f>
      </c>
      <c r="L37">
        <f>IF(B37="","",IF(K37&lt;=0,"consumed",IF(K37&lt;75,"low","active")))</f>
      </c>
      <c r="M37">
        <f>IF(B37="","",IF(COUNTIF(Consume!B:B,B37)=0,"—",COUNTIF(Consume!B:B,B37)&amp;" entry · "&amp;IFERROR(LOOKUP(2,1/(Consume!B$4:B$203=B37),Consume!A$4:A$203)&amp;" · "&amp;LOOKUP(2,1/(Consume!B$4:B$203=B37),Consume!C$4:C$203)&amp;" KG · "&amp;LOOKUP(2,1/(Consume!B$4:B$203=B37),Consume!D$4:D$203),"")))</f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f>IF(B38="","",MAX(0,J38-SUMIF(Consume!B:B,B38,Consume!C:C)))</f>
      </c>
      <c r="L38">
        <f>IF(B38="","",IF(K38&lt;=0,"consumed",IF(K38&lt;75,"low","active")))</f>
      </c>
      <c r="M38">
        <f>IF(B38="","",IF(COUNTIF(Consume!B:B,B38)=0,"—",COUNTIF(Consume!B:B,B38)&amp;" entry · "&amp;IFERROR(LOOKUP(2,1/(Consume!B$4:B$203=B38),Consume!A$4:A$203)&amp;" · "&amp;LOOKUP(2,1/(Consume!B$4:B$203=B38),Consume!C$4:C$203)&amp;" KG · "&amp;LOOKUP(2,1/(Consume!B$4:B$203=B38),Consume!D$4:D$203),"")))</f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f>IF(B39="","",MAX(0,J39-SUMIF(Consume!B:B,B39,Consume!C:C)))</f>
      </c>
      <c r="L39">
        <f>IF(B39="","",IF(K39&lt;=0,"consumed",IF(K39&lt;75,"low","active")))</f>
      </c>
      <c r="M39">
        <f>IF(B39="","",IF(COUNTIF(Consume!B:B,B39)=0,"—",COUNTIF(Consume!B:B,B39)&amp;" entry · "&amp;IFERROR(LOOKUP(2,1/(Consume!B$4:B$203=B39),Consume!A$4:A$203)&amp;" · "&amp;LOOKUP(2,1/(Consume!B$4:B$203=B39),Consume!C$4:C$203)&amp;" KG · "&amp;LOOKUP(2,1/(Consume!B$4:B$203=B39),Consume!D$4:D$203),"")))</f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f>IF(B40="","",MAX(0,J40-SUMIF(Consume!B:B,B40,Consume!C:C)))</f>
      </c>
      <c r="L40">
        <f>IF(B40="","",IF(K40&lt;=0,"consumed",IF(K40&lt;75,"low","active")))</f>
      </c>
      <c r="M40">
        <f>IF(B40="","",IF(COUNTIF(Consume!B:B,B40)=0,"—",COUNTIF(Consume!B:B,B40)&amp;" entry · "&amp;IFERROR(LOOKUP(2,1/(Consume!B$4:B$203=B40),Consume!A$4:A$203)&amp;" · "&amp;LOOKUP(2,1/(Consume!B$4:B$203=B40),Consume!C$4:C$203)&amp;" KG · "&amp;LOOKUP(2,1/(Consume!B$4:B$203=B40),Consume!D$4:D$203),"")))</f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f>IF(B41="","",MAX(0,J41-SUMIF(Consume!B:B,B41,Consume!C:C)))</f>
      </c>
      <c r="L41">
        <f>IF(B41="","",IF(K41&lt;=0,"consumed",IF(K41&lt;75,"low","active")))</f>
      </c>
      <c r="M41">
        <f>IF(B41="","",IF(COUNTIF(Consume!B:B,B41)=0,"—",COUNTIF(Consume!B:B,B41)&amp;" entry · "&amp;IFERROR(LOOKUP(2,1/(Consume!B$4:B$203=B41),Consume!A$4:A$203)&amp;" · "&amp;LOOKUP(2,1/(Consume!B$4:B$203=B41),Consume!C$4:C$203)&amp;" KG · "&amp;LOOKUP(2,1/(Consume!B$4:B$203=B41),Consume!D$4:D$203),"")))</f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>
        <f>IF(B42="","",MAX(0,J42-SUMIF(Consume!B:B,B42,Consume!C:C)))</f>
      </c>
      <c r="L42">
        <f>IF(B42="","",IF(K42&lt;=0,"consumed",IF(K42&lt;75,"low","active")))</f>
      </c>
      <c r="M42">
        <f>IF(B42="","",IF(COUNTIF(Consume!B:B,B42)=0,"—",COUNTIF(Consume!B:B,B42)&amp;" entry · "&amp;IFERROR(LOOKUP(2,1/(Consume!B$4:B$203=B42),Consume!A$4:A$203)&amp;" · "&amp;LOOKUP(2,1/(Consume!B$4:B$203=B42),Consume!C$4:C$203)&amp;" KG · "&amp;LOOKUP(2,1/(Consume!B$4:B$203=B42),Consume!D$4:D$203),"")))</f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>
        <f>IF(B43="","",MAX(0,J43-SUMIF(Consume!B:B,B43,Consume!C:C)))</f>
      </c>
      <c r="L43">
        <f>IF(B43="","",IF(K43&lt;=0,"consumed",IF(K43&lt;75,"low","active")))</f>
      </c>
      <c r="M43">
        <f>IF(B43="","",IF(COUNTIF(Consume!B:B,B43)=0,"—",COUNTIF(Consume!B:B,B43)&amp;" entry · "&amp;IFERROR(LOOKUP(2,1/(Consume!B$4:B$203=B43),Consume!A$4:A$203)&amp;" · "&amp;LOOKUP(2,1/(Consume!B$4:B$203=B43),Consume!C$4:C$203)&amp;" KG · "&amp;LOOKUP(2,1/(Consume!B$4:B$203=B43),Consume!D$4:D$203),"")))</f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>
        <f>IF(B44="","",MAX(0,J44-SUMIF(Consume!B:B,B44,Consume!C:C)))</f>
      </c>
      <c r="L44">
        <f>IF(B44="","",IF(K44&lt;=0,"consumed",IF(K44&lt;75,"low","active")))</f>
      </c>
      <c r="M44">
        <f>IF(B44="","",IF(COUNTIF(Consume!B:B,B44)=0,"—",COUNTIF(Consume!B:B,B44)&amp;" entry · "&amp;IFERROR(LOOKUP(2,1/(Consume!B$4:B$203=B44),Consume!A$4:A$203)&amp;" · "&amp;LOOKUP(2,1/(Consume!B$4:B$203=B44),Consume!C$4:C$203)&amp;" KG · "&amp;LOOKUP(2,1/(Consume!B$4:B$203=B44),Consume!D$4:D$203),"")))</f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f>IF(B45="","",MAX(0,J45-SUMIF(Consume!B:B,B45,Consume!C:C)))</f>
      </c>
      <c r="L45">
        <f>IF(B45="","",IF(K45&lt;=0,"consumed",IF(K45&lt;75,"low","active")))</f>
      </c>
      <c r="M45">
        <f>IF(B45="","",IF(COUNTIF(Consume!B:B,B45)=0,"—",COUNTIF(Consume!B:B,B45)&amp;" entry · "&amp;IFERROR(LOOKUP(2,1/(Consume!B$4:B$203=B45),Consume!A$4:A$203)&amp;" · "&amp;LOOKUP(2,1/(Consume!B$4:B$203=B45),Consume!C$4:C$203)&amp;" KG · "&amp;LOOKUP(2,1/(Consume!B$4:B$203=B45),Consume!D$4:D$203),"")))</f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>
        <f>IF(B46="","",MAX(0,J46-SUMIF(Consume!B:B,B46,Consume!C:C)))</f>
      </c>
      <c r="L46">
        <f>IF(B46="","",IF(K46&lt;=0,"consumed",IF(K46&lt;75,"low","active")))</f>
      </c>
      <c r="M46">
        <f>IF(B46="","",IF(COUNTIF(Consume!B:B,B46)=0,"—",COUNTIF(Consume!B:B,B46)&amp;" entry · "&amp;IFERROR(LOOKUP(2,1/(Consume!B$4:B$203=B46),Consume!A$4:A$203)&amp;" · "&amp;LOOKUP(2,1/(Consume!B$4:B$203=B46),Consume!C$4:C$203)&amp;" KG · "&amp;LOOKUP(2,1/(Consume!B$4:B$203=B46),Consume!D$4:D$203),"")))</f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>
        <f>IF(B47="","",MAX(0,J47-SUMIF(Consume!B:B,B47,Consume!C:C)))</f>
      </c>
      <c r="L47">
        <f>IF(B47="","",IF(K47&lt;=0,"consumed",IF(K47&lt;75,"low","active")))</f>
      </c>
      <c r="M47">
        <f>IF(B47="","",IF(COUNTIF(Consume!B:B,B47)=0,"—",COUNTIF(Consume!B:B,B47)&amp;" entry · "&amp;IFERROR(LOOKUP(2,1/(Consume!B$4:B$203=B47),Consume!A$4:A$203)&amp;" · "&amp;LOOKUP(2,1/(Consume!B$4:B$203=B47),Consume!C$4:C$203)&amp;" KG · "&amp;LOOKUP(2,1/(Consume!B$4:B$203=B47),Consume!D$4:D$203),"")))</f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>
        <f>IF(B48="","",MAX(0,J48-SUMIF(Consume!B:B,B48,Consume!C:C)))</f>
      </c>
      <c r="L48">
        <f>IF(B48="","",IF(K48&lt;=0,"consumed",IF(K48&lt;75,"low","active")))</f>
      </c>
      <c r="M48">
        <f>IF(B48="","",IF(COUNTIF(Consume!B:B,B48)=0,"—",COUNTIF(Consume!B:B,B48)&amp;" entry · "&amp;IFERROR(LOOKUP(2,1/(Consume!B$4:B$203=B48),Consume!A$4:A$203)&amp;" · "&amp;LOOKUP(2,1/(Consume!B$4:B$203=B48),Consume!C$4:C$203)&amp;" KG · "&amp;LOOKUP(2,1/(Consume!B$4:B$203=B48),Consume!D$4:D$203),"")))</f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>
        <f>IF(B49="","",MAX(0,J49-SUMIF(Consume!B:B,B49,Consume!C:C)))</f>
      </c>
      <c r="L49">
        <f>IF(B49="","",IF(K49&lt;=0,"consumed",IF(K49&lt;75,"low","active")))</f>
      </c>
      <c r="M49">
        <f>IF(B49="","",IF(COUNTIF(Consume!B:B,B49)=0,"—",COUNTIF(Consume!B:B,B49)&amp;" entry · "&amp;IFERROR(LOOKUP(2,1/(Consume!B$4:B$203=B49),Consume!A$4:A$203)&amp;" · "&amp;LOOKUP(2,1/(Consume!B$4:B$203=B49),Consume!C$4:C$203)&amp;" KG · "&amp;LOOKUP(2,1/(Consume!B$4:B$203=B49),Consume!D$4:D$203),"")))</f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>
        <f>IF(B50="","",MAX(0,J50-SUMIF(Consume!B:B,B50,Consume!C:C)))</f>
      </c>
      <c r="L50">
        <f>IF(B50="","",IF(K50&lt;=0,"consumed",IF(K50&lt;75,"low","active")))</f>
      </c>
      <c r="M50">
        <f>IF(B50="","",IF(COUNTIF(Consume!B:B,B50)=0,"—",COUNTIF(Consume!B:B,B50)&amp;" entry · "&amp;IFERROR(LOOKUP(2,1/(Consume!B$4:B$203=B50),Consume!A$4:A$203)&amp;" · "&amp;LOOKUP(2,1/(Consume!B$4:B$203=B50),Consume!C$4:C$203)&amp;" KG · "&amp;LOOKUP(2,1/(Consume!B$4:B$203=B50),Consume!D$4:D$203),"")))</f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>
        <f>IF(B51="","",MAX(0,J51-SUMIF(Consume!B:B,B51,Consume!C:C)))</f>
      </c>
      <c r="L51">
        <f>IF(B51="","",IF(K51&lt;=0,"consumed",IF(K51&lt;75,"low","active")))</f>
      </c>
      <c r="M51">
        <f>IF(B51="","",IF(COUNTIF(Consume!B:B,B51)=0,"—",COUNTIF(Consume!B:B,B51)&amp;" entry · "&amp;IFERROR(LOOKUP(2,1/(Consume!B$4:B$203=B51),Consume!A$4:A$203)&amp;" · "&amp;LOOKUP(2,1/(Consume!B$4:B$203=B51),Consume!C$4:C$203)&amp;" KG · "&amp;LOOKUP(2,1/(Consume!B$4:B$203=B51),Consume!D$4:D$203),"")))</f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>
        <f>IF(B52="","",MAX(0,J52-SUMIF(Consume!B:B,B52,Consume!C:C)))</f>
      </c>
      <c r="L52">
        <f>IF(B52="","",IF(K52&lt;=0,"consumed",IF(K52&lt;75,"low","active")))</f>
      </c>
      <c r="M52">
        <f>IF(B52="","",IF(COUNTIF(Consume!B:B,B52)=0,"—",COUNTIF(Consume!B:B,B52)&amp;" entry · "&amp;IFERROR(LOOKUP(2,1/(Consume!B$4:B$203=B52),Consume!A$4:A$203)&amp;" · "&amp;LOOKUP(2,1/(Consume!B$4:B$203=B52),Consume!C$4:C$203)&amp;" KG · "&amp;LOOKUP(2,1/(Consume!B$4:B$203=B52),Consume!D$4:D$203),"")))</f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>
        <f>IF(B53="","",MAX(0,J53-SUMIF(Consume!B:B,B53,Consume!C:C)))</f>
      </c>
      <c r="L53">
        <f>IF(B53="","",IF(K53&lt;=0,"consumed",IF(K53&lt;75,"low","active")))</f>
      </c>
      <c r="M53">
        <f>IF(B53="","",IF(COUNTIF(Consume!B:B,B53)=0,"—",COUNTIF(Consume!B:B,B53)&amp;" entry · "&amp;IFERROR(LOOKUP(2,1/(Consume!B$4:B$203=B53),Consume!A$4:A$203)&amp;" · "&amp;LOOKUP(2,1/(Consume!B$4:B$203=B53),Consume!C$4:C$203)&amp;" KG · "&amp;LOOKUP(2,1/(Consume!B$4:B$203=B53),Consume!D$4:D$203),"")))</f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f>IF(B54="","",MAX(0,J54-SUMIF(Consume!B:B,B54,Consume!C:C)))</f>
      </c>
      <c r="L54">
        <f>IF(B54="","",IF(K54&lt;=0,"consumed",IF(K54&lt;75,"low","active")))</f>
      </c>
      <c r="M54">
        <f>IF(B54="","",IF(COUNTIF(Consume!B:B,B54)=0,"—",COUNTIF(Consume!B:B,B54)&amp;" entry · "&amp;IFERROR(LOOKUP(2,1/(Consume!B$4:B$203=B54),Consume!A$4:A$203)&amp;" · "&amp;LOOKUP(2,1/(Consume!B$4:B$203=B54),Consume!C$4:C$203)&amp;" KG · "&amp;LOOKUP(2,1/(Consume!B$4:B$203=B54),Consume!D$4:D$203),"")))</f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>
        <f>IF(B55="","",MAX(0,J55-SUMIF(Consume!B:B,B55,Consume!C:C)))</f>
      </c>
      <c r="L55">
        <f>IF(B55="","",IF(K55&lt;=0,"consumed",IF(K55&lt;75,"low","active")))</f>
      </c>
      <c r="M55">
        <f>IF(B55="","",IF(COUNTIF(Consume!B:B,B55)=0,"—",COUNTIF(Consume!B:B,B55)&amp;" entry · "&amp;IFERROR(LOOKUP(2,1/(Consume!B$4:B$203=B55),Consume!A$4:A$203)&amp;" · "&amp;LOOKUP(2,1/(Consume!B$4:B$203=B55),Consume!C$4:C$203)&amp;" KG · "&amp;LOOKUP(2,1/(Consume!B$4:B$203=B55),Consume!D$4:D$203),"")))</f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>
        <f>IF(B56="","",MAX(0,J56-SUMIF(Consume!B:B,B56,Consume!C:C)))</f>
      </c>
      <c r="L56">
        <f>IF(B56="","",IF(K56&lt;=0,"consumed",IF(K56&lt;75,"low","active")))</f>
      </c>
      <c r="M56">
        <f>IF(B56="","",IF(COUNTIF(Consume!B:B,B56)=0,"—",COUNTIF(Consume!B:B,B56)&amp;" entry · "&amp;IFERROR(LOOKUP(2,1/(Consume!B$4:B$203=B56),Consume!A$4:A$203)&amp;" · "&amp;LOOKUP(2,1/(Consume!B$4:B$203=B56),Consume!C$4:C$203)&amp;" KG · "&amp;LOOKUP(2,1/(Consume!B$4:B$203=B56),Consume!D$4:D$203),"")))</f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>
        <f>IF(B57="","",MAX(0,J57-SUMIF(Consume!B:B,B57,Consume!C:C)))</f>
      </c>
      <c r="L57">
        <f>IF(B57="","",IF(K57&lt;=0,"consumed",IF(K57&lt;75,"low","active")))</f>
      </c>
      <c r="M57">
        <f>IF(B57="","",IF(COUNTIF(Consume!B:B,B57)=0,"—",COUNTIF(Consume!B:B,B57)&amp;" entry · "&amp;IFERROR(LOOKUP(2,1/(Consume!B$4:B$203=B57),Consume!A$4:A$203)&amp;" · "&amp;LOOKUP(2,1/(Consume!B$4:B$203=B57),Consume!C$4:C$203)&amp;" KG · "&amp;LOOKUP(2,1/(Consume!B$4:B$203=B57),Consume!D$4:D$203),"")))</f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>
        <f>IF(B58="","",MAX(0,J58-SUMIF(Consume!B:B,B58,Consume!C:C)))</f>
      </c>
      <c r="L58">
        <f>IF(B58="","",IF(K58&lt;=0,"consumed",IF(K58&lt;75,"low","active")))</f>
      </c>
      <c r="M58">
        <f>IF(B58="","",IF(COUNTIF(Consume!B:B,B58)=0,"—",COUNTIF(Consume!B:B,B58)&amp;" entry · "&amp;IFERROR(LOOKUP(2,1/(Consume!B$4:B$203=B58),Consume!A$4:A$203)&amp;" · "&amp;LOOKUP(2,1/(Consume!B$4:B$203=B58),Consume!C$4:C$203)&amp;" KG · "&amp;LOOKUP(2,1/(Consume!B$4:B$203=B58),Consume!D$4:D$203),"")))</f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>
        <f>IF(B59="","",MAX(0,J59-SUMIF(Consume!B:B,B59,Consume!C:C)))</f>
      </c>
      <c r="L59">
        <f>IF(B59="","",IF(K59&lt;=0,"consumed",IF(K59&lt;75,"low","active")))</f>
      </c>
      <c r="M59">
        <f>IF(B59="","",IF(COUNTIF(Consume!B:B,B59)=0,"—",COUNTIF(Consume!B:B,B59)&amp;" entry · "&amp;IFERROR(LOOKUP(2,1/(Consume!B$4:B$203=B59),Consume!A$4:A$203)&amp;" · "&amp;LOOKUP(2,1/(Consume!B$4:B$203=B59),Consume!C$4:C$203)&amp;" KG · "&amp;LOOKUP(2,1/(Consume!B$4:B$203=B59),Consume!D$4:D$203),"")))</f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>
        <f>IF(B60="","",MAX(0,J60-SUMIF(Consume!B:B,B60,Consume!C:C)))</f>
      </c>
      <c r="L60">
        <f>IF(B60="","",IF(K60&lt;=0,"consumed",IF(K60&lt;75,"low","active")))</f>
      </c>
      <c r="M60">
        <f>IF(B60="","",IF(COUNTIF(Consume!B:B,B60)=0,"—",COUNTIF(Consume!B:B,B60)&amp;" entry · "&amp;IFERROR(LOOKUP(2,1/(Consume!B$4:B$203=B60),Consume!A$4:A$203)&amp;" · "&amp;LOOKUP(2,1/(Consume!B$4:B$203=B60),Consume!C$4:C$203)&amp;" KG · "&amp;LOOKUP(2,1/(Consume!B$4:B$203=B60),Consume!D$4:D$203),"")))</f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>
        <f>IF(B61="","",MAX(0,J61-SUMIF(Consume!B:B,B61,Consume!C:C)))</f>
      </c>
      <c r="L61">
        <f>IF(B61="","",IF(K61&lt;=0,"consumed",IF(K61&lt;75,"low","active")))</f>
      </c>
      <c r="M61">
        <f>IF(B61="","",IF(COUNTIF(Consume!B:B,B61)=0,"—",COUNTIF(Consume!B:B,B61)&amp;" entry · "&amp;IFERROR(LOOKUP(2,1/(Consume!B$4:B$203=B61),Consume!A$4:A$203)&amp;" · "&amp;LOOKUP(2,1/(Consume!B$4:B$203=B61),Consume!C$4:C$203)&amp;" KG · "&amp;LOOKUP(2,1/(Consume!B$4:B$203=B61),Consume!D$4:D$203),"")))</f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>
        <f>IF(B62="","",MAX(0,J62-SUMIF(Consume!B:B,B62,Consume!C:C)))</f>
      </c>
      <c r="L62">
        <f>IF(B62="","",IF(K62&lt;=0,"consumed",IF(K62&lt;75,"low","active")))</f>
      </c>
      <c r="M62">
        <f>IF(B62="","",IF(COUNTIF(Consume!B:B,B62)=0,"—",COUNTIF(Consume!B:B,B62)&amp;" entry · "&amp;IFERROR(LOOKUP(2,1/(Consume!B$4:B$203=B62),Consume!A$4:A$203)&amp;" · "&amp;LOOKUP(2,1/(Consume!B$4:B$203=B62),Consume!C$4:C$203)&amp;" KG · "&amp;LOOKUP(2,1/(Consume!B$4:B$203=B62),Consume!D$4:D$203),"")))</f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>
        <f>IF(B63="","",MAX(0,J63-SUMIF(Consume!B:B,B63,Consume!C:C)))</f>
      </c>
      <c r="L63">
        <f>IF(B63="","",IF(K63&lt;=0,"consumed",IF(K63&lt;75,"low","active")))</f>
      </c>
      <c r="M63">
        <f>IF(B63="","",IF(COUNTIF(Consume!B:B,B63)=0,"—",COUNTIF(Consume!B:B,B63)&amp;" entry · "&amp;IFERROR(LOOKUP(2,1/(Consume!B$4:B$203=B63),Consume!A$4:A$203)&amp;" · "&amp;LOOKUP(2,1/(Consume!B$4:B$203=B63),Consume!C$4:C$203)&amp;" KG · "&amp;LOOKUP(2,1/(Consume!B$4:B$203=B63),Consume!D$4:D$203),"")))</f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>
        <f>IF(B64="","",MAX(0,J64-SUMIF(Consume!B:B,B64,Consume!C:C)))</f>
      </c>
      <c r="L64">
        <f>IF(B64="","",IF(K64&lt;=0,"consumed",IF(K64&lt;75,"low","active")))</f>
      </c>
      <c r="M64">
        <f>IF(B64="","",IF(COUNTIF(Consume!B:B,B64)=0,"—",COUNTIF(Consume!B:B,B64)&amp;" entry · "&amp;IFERROR(LOOKUP(2,1/(Consume!B$4:B$203=B64),Consume!A$4:A$203)&amp;" · "&amp;LOOKUP(2,1/(Consume!B$4:B$203=B64),Consume!C$4:C$203)&amp;" KG · "&amp;LOOKUP(2,1/(Consume!B$4:B$203=B64),Consume!D$4:D$203),"")))</f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>
        <f>IF(B65="","",MAX(0,J65-SUMIF(Consume!B:B,B65,Consume!C:C)))</f>
      </c>
      <c r="L65">
        <f>IF(B65="","",IF(K65&lt;=0,"consumed",IF(K65&lt;75,"low","active")))</f>
      </c>
      <c r="M65">
        <f>IF(B65="","",IF(COUNTIF(Consume!B:B,B65)=0,"—",COUNTIF(Consume!B:B,B65)&amp;" entry · "&amp;IFERROR(LOOKUP(2,1/(Consume!B$4:B$203=B65),Consume!A$4:A$203)&amp;" · "&amp;LOOKUP(2,1/(Consume!B$4:B$203=B65),Consume!C$4:C$203)&amp;" KG · "&amp;LOOKUP(2,1/(Consume!B$4:B$203=B65),Consume!D$4:D$203),"")))</f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>
        <f>IF(B66="","",MAX(0,J66-SUMIF(Consume!B:B,B66,Consume!C:C)))</f>
      </c>
      <c r="L66">
        <f>IF(B66="","",IF(K66&lt;=0,"consumed",IF(K66&lt;75,"low","active")))</f>
      </c>
      <c r="M66">
        <f>IF(B66="","",IF(COUNTIF(Consume!B:B,B66)=0,"—",COUNTIF(Consume!B:B,B66)&amp;" entry · "&amp;IFERROR(LOOKUP(2,1/(Consume!B$4:B$203=B66),Consume!A$4:A$203)&amp;" · "&amp;LOOKUP(2,1/(Consume!B$4:B$203=B66),Consume!C$4:C$203)&amp;" KG · "&amp;LOOKUP(2,1/(Consume!B$4:B$203=B66),Consume!D$4:D$203),"")))</f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>
        <f>IF(B67="","",MAX(0,J67-SUMIF(Consume!B:B,B67,Consume!C:C)))</f>
      </c>
      <c r="L67">
        <f>IF(B67="","",IF(K67&lt;=0,"consumed",IF(K67&lt;75,"low","active")))</f>
      </c>
      <c r="M67">
        <f>IF(B67="","",IF(COUNTIF(Consume!B:B,B67)=0,"—",COUNTIF(Consume!B:B,B67)&amp;" entry · "&amp;IFERROR(LOOKUP(2,1/(Consume!B$4:B$203=B67),Consume!A$4:A$203)&amp;" · "&amp;LOOKUP(2,1/(Consume!B$4:B$203=B67),Consume!C$4:C$203)&amp;" KG · "&amp;LOOKUP(2,1/(Consume!B$4:B$203=B67),Consume!D$4:D$203),"")))</f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>
        <f>IF(B68="","",MAX(0,J68-SUMIF(Consume!B:B,B68,Consume!C:C)))</f>
      </c>
      <c r="L68">
        <f>IF(B68="","",IF(K68&lt;=0,"consumed",IF(K68&lt;75,"low","active")))</f>
      </c>
      <c r="M68">
        <f>IF(B68="","",IF(COUNTIF(Consume!B:B,B68)=0,"—",COUNTIF(Consume!B:B,B68)&amp;" entry · "&amp;IFERROR(LOOKUP(2,1/(Consume!B$4:B$203=B68),Consume!A$4:A$203)&amp;" · "&amp;LOOKUP(2,1/(Consume!B$4:B$203=B68),Consume!C$4:C$203)&amp;" KG · "&amp;LOOKUP(2,1/(Consume!B$4:B$203=B68),Consume!D$4:D$203),"")))</f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>
        <f>IF(B69="","",MAX(0,J69-SUMIF(Consume!B:B,B69,Consume!C:C)))</f>
      </c>
      <c r="L69">
        <f>IF(B69="","",IF(K69&lt;=0,"consumed",IF(K69&lt;75,"low","active")))</f>
      </c>
      <c r="M69">
        <f>IF(B69="","",IF(COUNTIF(Consume!B:B,B69)=0,"—",COUNTIF(Consume!B:B,B69)&amp;" entry · "&amp;IFERROR(LOOKUP(2,1/(Consume!B$4:B$203=B69),Consume!A$4:A$203)&amp;" · "&amp;LOOKUP(2,1/(Consume!B$4:B$203=B69),Consume!C$4:C$203)&amp;" KG · "&amp;LOOKUP(2,1/(Consume!B$4:B$203=B69),Consume!D$4:D$203),"")))</f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>
        <f>IF(B70="","",MAX(0,J70-SUMIF(Consume!B:B,B70,Consume!C:C)))</f>
      </c>
      <c r="L70">
        <f>IF(B70="","",IF(K70&lt;=0,"consumed",IF(K70&lt;75,"low","active")))</f>
      </c>
      <c r="M70">
        <f>IF(B70="","",IF(COUNTIF(Consume!B:B,B70)=0,"—",COUNTIF(Consume!B:B,B70)&amp;" entry · "&amp;IFERROR(LOOKUP(2,1/(Consume!B$4:B$203=B70),Consume!A$4:A$203)&amp;" · "&amp;LOOKUP(2,1/(Consume!B$4:B$203=B70),Consume!C$4:C$203)&amp;" KG · "&amp;LOOKUP(2,1/(Consume!B$4:B$203=B70),Consume!D$4:D$203),"")))</f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>
        <f>IF(B71="","",MAX(0,J71-SUMIF(Consume!B:B,B71,Consume!C:C)))</f>
      </c>
      <c r="L71">
        <f>IF(B71="","",IF(K71&lt;=0,"consumed",IF(K71&lt;75,"low","active")))</f>
      </c>
      <c r="M71">
        <f>IF(B71="","",IF(COUNTIF(Consume!B:B,B71)=0,"—",COUNTIF(Consume!B:B,B71)&amp;" entry · "&amp;IFERROR(LOOKUP(2,1/(Consume!B$4:B$203=B71),Consume!A$4:A$203)&amp;" · "&amp;LOOKUP(2,1/(Consume!B$4:B$203=B71),Consume!C$4:C$203)&amp;" KG · "&amp;LOOKUP(2,1/(Consume!B$4:B$203=B71),Consume!D$4:D$203),"")))</f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>
        <f>IF(B72="","",MAX(0,J72-SUMIF(Consume!B:B,B72,Consume!C:C)))</f>
      </c>
      <c r="L72">
        <f>IF(B72="","",IF(K72&lt;=0,"consumed",IF(K72&lt;75,"low","active")))</f>
      </c>
      <c r="M72">
        <f>IF(B72="","",IF(COUNTIF(Consume!B:B,B72)=0,"—",COUNTIF(Consume!B:B,B72)&amp;" entry · "&amp;IFERROR(LOOKUP(2,1/(Consume!B$4:B$203=B72),Consume!A$4:A$203)&amp;" · "&amp;LOOKUP(2,1/(Consume!B$4:B$203=B72),Consume!C$4:C$203)&amp;" KG · "&amp;LOOKUP(2,1/(Consume!B$4:B$203=B72),Consume!D$4:D$203),"")))</f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>
        <f>IF(B73="","",MAX(0,J73-SUMIF(Consume!B:B,B73,Consume!C:C)))</f>
      </c>
      <c r="L73">
        <f>IF(B73="","",IF(K73&lt;=0,"consumed",IF(K73&lt;75,"low","active")))</f>
      </c>
      <c r="M73">
        <f>IF(B73="","",IF(COUNTIF(Consume!B:B,B73)=0,"—",COUNTIF(Consume!B:B,B73)&amp;" entry · "&amp;IFERROR(LOOKUP(2,1/(Consume!B$4:B$203=B73),Consume!A$4:A$203)&amp;" · "&amp;LOOKUP(2,1/(Consume!B$4:B$203=B73),Consume!C$4:C$203)&amp;" KG · "&amp;LOOKUP(2,1/(Consume!B$4:B$203=B73),Consume!D$4:D$203),"")))</f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>
        <f>IF(B74="","",MAX(0,J74-SUMIF(Consume!B:B,B74,Consume!C:C)))</f>
      </c>
      <c r="L74">
        <f>IF(B74="","",IF(K74&lt;=0,"consumed",IF(K74&lt;75,"low","active")))</f>
      </c>
      <c r="M74">
        <f>IF(B74="","",IF(COUNTIF(Consume!B:B,B74)=0,"—",COUNTIF(Consume!B:B,B74)&amp;" entry · "&amp;IFERROR(LOOKUP(2,1/(Consume!B$4:B$203=B74),Consume!A$4:A$203)&amp;" · "&amp;LOOKUP(2,1/(Consume!B$4:B$203=B74),Consume!C$4:C$203)&amp;" KG · "&amp;LOOKUP(2,1/(Consume!B$4:B$203=B74),Consume!D$4:D$203),"")))</f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>
        <f>IF(B75="","",MAX(0,J75-SUMIF(Consume!B:B,B75,Consume!C:C)))</f>
      </c>
      <c r="L75">
        <f>IF(B75="","",IF(K75&lt;=0,"consumed",IF(K75&lt;75,"low","active")))</f>
      </c>
      <c r="M75">
        <f>IF(B75="","",IF(COUNTIF(Consume!B:B,B75)=0,"—",COUNTIF(Consume!B:B,B75)&amp;" entry · "&amp;IFERROR(LOOKUP(2,1/(Consume!B$4:B$203=B75),Consume!A$4:A$203)&amp;" · "&amp;LOOKUP(2,1/(Consume!B$4:B$203=B75),Consume!C$4:C$203)&amp;" KG · "&amp;LOOKUP(2,1/(Consume!B$4:B$203=B75),Consume!D$4:D$203),"")))</f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>
        <f>IF(B76="","",MAX(0,J76-SUMIF(Consume!B:B,B76,Consume!C:C)))</f>
      </c>
      <c r="L76">
        <f>IF(B76="","",IF(K76&lt;=0,"consumed",IF(K76&lt;75,"low","active")))</f>
      </c>
      <c r="M76">
        <f>IF(B76="","",IF(COUNTIF(Consume!B:B,B76)=0,"—",COUNTIF(Consume!B:B,B76)&amp;" entry · "&amp;IFERROR(LOOKUP(2,1/(Consume!B$4:B$203=B76),Consume!A$4:A$203)&amp;" · "&amp;LOOKUP(2,1/(Consume!B$4:B$203=B76),Consume!C$4:C$203)&amp;" KG · "&amp;LOOKUP(2,1/(Consume!B$4:B$203=B76),Consume!D$4:D$203),"")))</f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>
        <f>IF(B77="","",MAX(0,J77-SUMIF(Consume!B:B,B77,Consume!C:C)))</f>
      </c>
      <c r="L77">
        <f>IF(B77="","",IF(K77&lt;=0,"consumed",IF(K77&lt;75,"low","active")))</f>
      </c>
      <c r="M77">
        <f>IF(B77="","",IF(COUNTIF(Consume!B:B,B77)=0,"—",COUNTIF(Consume!B:B,B77)&amp;" entry · "&amp;IFERROR(LOOKUP(2,1/(Consume!B$4:B$203=B77),Consume!A$4:A$203)&amp;" · "&amp;LOOKUP(2,1/(Consume!B$4:B$203=B77),Consume!C$4:C$203)&amp;" KG · "&amp;LOOKUP(2,1/(Consume!B$4:B$203=B77),Consume!D$4:D$203),"")))</f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f>IF(B78="","",MAX(0,J78-SUMIF(Consume!B:B,B78,Consume!C:C)))</f>
      </c>
      <c r="L78">
        <f>IF(B78="","",IF(K78&lt;=0,"consumed",IF(K78&lt;75,"low","active")))</f>
      </c>
      <c r="M78">
        <f>IF(B78="","",IF(COUNTIF(Consume!B:B,B78)=0,"—",COUNTIF(Consume!B:B,B78)&amp;" entry · "&amp;IFERROR(LOOKUP(2,1/(Consume!B$4:B$203=B78),Consume!A$4:A$203)&amp;" · "&amp;LOOKUP(2,1/(Consume!B$4:B$203=B78),Consume!C$4:C$203)&amp;" KG · "&amp;LOOKUP(2,1/(Consume!B$4:B$203=B78),Consume!D$4:D$203),"")))</f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>
        <f>IF(B79="","",MAX(0,J79-SUMIF(Consume!B:B,B79,Consume!C:C)))</f>
      </c>
      <c r="L79">
        <f>IF(B79="","",IF(K79&lt;=0,"consumed",IF(K79&lt;75,"low","active")))</f>
      </c>
      <c r="M79">
        <f>IF(B79="","",IF(COUNTIF(Consume!B:B,B79)=0,"—",COUNTIF(Consume!B:B,B79)&amp;" entry · "&amp;IFERROR(LOOKUP(2,1/(Consume!B$4:B$203=B79),Consume!A$4:A$203)&amp;" · "&amp;LOOKUP(2,1/(Consume!B$4:B$203=B79),Consume!C$4:C$203)&amp;" KG · "&amp;LOOKUP(2,1/(Consume!B$4:B$203=B79),Consume!D$4:D$203),"")))</f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>
        <f>IF(B80="","",MAX(0,J80-SUMIF(Consume!B:B,B80,Consume!C:C)))</f>
      </c>
      <c r="L80">
        <f>IF(B80="","",IF(K80&lt;=0,"consumed",IF(K80&lt;75,"low","active")))</f>
      </c>
      <c r="M80">
        <f>IF(B80="","",IF(COUNTIF(Consume!B:B,B80)=0,"—",COUNTIF(Consume!B:B,B80)&amp;" entry · "&amp;IFERROR(LOOKUP(2,1/(Consume!B$4:B$203=B80),Consume!A$4:A$203)&amp;" · "&amp;LOOKUP(2,1/(Consume!B$4:B$203=B80),Consume!C$4:C$203)&amp;" KG · "&amp;LOOKUP(2,1/(Consume!B$4:B$203=B80),Consume!D$4:D$203),"")))</f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>
        <f>IF(B81="","",MAX(0,J81-SUMIF(Consume!B:B,B81,Consume!C:C)))</f>
      </c>
      <c r="L81">
        <f>IF(B81="","",IF(K81&lt;=0,"consumed",IF(K81&lt;75,"low","active")))</f>
      </c>
      <c r="M81">
        <f>IF(B81="","",IF(COUNTIF(Consume!B:B,B81)=0,"—",COUNTIF(Consume!B:B,B81)&amp;" entry · "&amp;IFERROR(LOOKUP(2,1/(Consume!B$4:B$203=B81),Consume!A$4:A$203)&amp;" · "&amp;LOOKUP(2,1/(Consume!B$4:B$203=B81),Consume!C$4:C$203)&amp;" KG · "&amp;LOOKUP(2,1/(Consume!B$4:B$203=B81),Consume!D$4:D$203),"")))</f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>
        <f>IF(B82="","",MAX(0,J82-SUMIF(Consume!B:B,B82,Consume!C:C)))</f>
      </c>
      <c r="L82">
        <f>IF(B82="","",IF(K82&lt;=0,"consumed",IF(K82&lt;75,"low","active")))</f>
      </c>
      <c r="M82">
        <f>IF(B82="","",IF(COUNTIF(Consume!B:B,B82)=0,"—",COUNTIF(Consume!B:B,B82)&amp;" entry · "&amp;IFERROR(LOOKUP(2,1/(Consume!B$4:B$203=B82),Consume!A$4:A$203)&amp;" · "&amp;LOOKUP(2,1/(Consume!B$4:B$203=B82),Consume!C$4:C$203)&amp;" KG · "&amp;LOOKUP(2,1/(Consume!B$4:B$203=B82),Consume!D$4:D$203),"")))</f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>
        <f>IF(B83="","",MAX(0,J83-SUMIF(Consume!B:B,B83,Consume!C:C)))</f>
      </c>
      <c r="L83">
        <f>IF(B83="","",IF(K83&lt;=0,"consumed",IF(K83&lt;75,"low","active")))</f>
      </c>
      <c r="M83">
        <f>IF(B83="","",IF(COUNTIF(Consume!B:B,B83)=0,"—",COUNTIF(Consume!B:B,B83)&amp;" entry · "&amp;IFERROR(LOOKUP(2,1/(Consume!B$4:B$203=B83),Consume!A$4:A$203)&amp;" · "&amp;LOOKUP(2,1/(Consume!B$4:B$203=B83),Consume!C$4:C$203)&amp;" KG · "&amp;LOOKUP(2,1/(Consume!B$4:B$203=B83),Consume!D$4:D$203),"")))</f>
      </c>
    </row>
  </sheetData>
  <ignoredErrors>
    <ignoredError numberStoredAsText="1" sqref="A1:M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28.83203125" customWidth="1"/>
    <col min="5" max="5" width="18.83203125" customWidth="1"/>
  </cols>
  <sheetData>
    <row r="1">
      <c r="A1" t="str">
        <v>CONSUME — jaise web pe Use remark / Full consume</v>
      </c>
    </row>
    <row r="2">
      <c r="A2" t="str">
        <v>Date + Reel No (Stock jaisa exact) + KG Used + Consumed on</v>
      </c>
    </row>
    <row r="3">
      <c r="A3" t="str">
        <v>Date</v>
      </c>
      <c r="B3" t="str">
        <v>Reel No</v>
      </c>
      <c r="C3" t="str">
        <v>KG Used</v>
      </c>
      <c r="D3" t="str">
        <v>Consumed on (party/order/job)</v>
      </c>
      <c r="E3" t="str">
        <v>Notes (optional)</v>
      </c>
    </row>
    <row r="4">
      <c r="A4" t="str">
        <v>2026-08-20</v>
      </c>
      <c r="B4" t="str">
        <v>R-105</v>
      </c>
      <c r="C4">
        <v>80</v>
      </c>
      <c r="D4" t="str">
        <v>Acme boxes · partial</v>
      </c>
      <c r="E4" t="str">
        <v/>
      </c>
    </row>
    <row r="5">
      <c r="A5" t="str">
        <v>2026-09-01</v>
      </c>
      <c r="B5" t="str">
        <v>R-105</v>
      </c>
      <c r="C5">
        <v>140</v>
      </c>
      <c r="D5" t="str">
        <v>Acme boxes · finish</v>
      </c>
      <c r="E5" t="str">
        <v>Full remaining</v>
      </c>
    </row>
    <row r="6">
      <c r="A6" t="str">
        <v>2026-09-05</v>
      </c>
      <c r="B6" t="str">
        <v>R-101</v>
      </c>
      <c r="C6">
        <v>100</v>
      </c>
      <c r="D6" t="str">
        <v>UK Paper corrugation</v>
      </c>
      <c r="E6" t="str">
        <v>Line 1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</row>
  </sheetData>
  <ignoredErrors>
    <ignoredError numberStoredAsText="1" sqref="A1:E2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2.83203125" customWidth="1"/>
    <col min="2" max="2" width="14.83203125" customWidth="1"/>
  </cols>
  <sheetData>
    <row r="1">
      <c r="A1" t="str">
        <v>SUMMARY — Stock se auto</v>
      </c>
    </row>
    <row r="2">
      <c r="A2" t="str">
        <v/>
      </c>
    </row>
    <row r="3">
      <c r="A3" t="str">
        <v>Total reels</v>
      </c>
      <c r="B3">
        <f>COUNTA(Stock!B4:B83)</f>
      </c>
    </row>
    <row r="4">
      <c r="A4" t="str">
        <v>Active + Low</v>
      </c>
      <c r="B4">
        <f>COUNTIF(Stock!L4:L83,"active")+COUNTIF(Stock!L4:L83,"low")</f>
      </c>
    </row>
    <row r="5">
      <c r="A5" t="str">
        <v>Available KG</v>
      </c>
      <c r="B5">
        <f>SUMIF(Stock!L4:L83,"active",Stock!K4:K83)+SUMIF(Stock!L4:L83,"low",Stock!K4:K83)</f>
      </c>
    </row>
    <row r="6">
      <c r="A6" t="str">
        <v>Consumed KG</v>
      </c>
      <c r="B6">
        <f>SUM(Consume!C4:C203)</f>
      </c>
    </row>
    <row r="7">
      <c r="A7" t="str">
        <v>Consumed reels</v>
      </c>
      <c r="B7">
        <f>COUNTIF(Stock!L4:L83,"consumed")</f>
      </c>
    </row>
    <row r="8">
      <c r="A8" t="str">
        <v>Low stock</v>
      </c>
      <c r="B8">
        <f>COUNTIF(Stock!L4:L83,"low")</f>
      </c>
    </row>
    <row r="9">
      <c r="A9" t="str">
        <v/>
      </c>
    </row>
    <row r="10">
      <c r="A10" t="str">
        <v>KRAFT available KG</v>
      </c>
      <c r="B10">
        <f>SUMIFS(Stock!K4:K83,Stock!C4:C83,"KRAFT",Stock!L4:L83,"&lt;&gt;consumed")</f>
      </c>
    </row>
    <row r="11">
      <c r="A11" t="str">
        <v>DUPLEX available KG</v>
      </c>
      <c r="B11">
        <f>SUMIFS(Stock!K4:K83,Stock!C4:C83,"DUPLEX",Stock!L4:L83,"&lt;&gt;consumed")</f>
      </c>
    </row>
  </sheetData>
  <ignoredErrors>
    <ignoredError numberStoredAsText="1" sqref="A1:B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4.83203125" customWidth="1"/>
    <col min="2" max="2" width="10.83203125" customWidth="1"/>
    <col min="3" max="3" width="8.83203125" customWidth="1"/>
    <col min="4" max="4" width="12.83203125" customWidth="1"/>
    <col min="5" max="5" width="10.83203125" customWidth="1"/>
    <col min="6" max="6" width="6.83203125" customWidth="1"/>
    <col min="7" max="7" width="6.83203125" customWidth="1"/>
    <col min="8" max="8" width="8.83203125" customWidth="1"/>
    <col min="9" max="9" width="18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PHYSICAL VERIFY — print landscape</v>
      </c>
    </row>
    <row r="2">
      <c r="A2" t="str">
        <v>Sys KG Stock se. Found / Phys. KG khud bharo.</v>
      </c>
    </row>
    <row r="3">
      <c r="A3" t="str">
        <v>#</v>
      </c>
      <c r="B3" t="str">
        <v>Reel No</v>
      </c>
      <c r="C3" t="str">
        <v>Type</v>
      </c>
      <c r="D3" t="str">
        <v>Mill</v>
      </c>
      <c r="E3" t="str">
        <v>Deckle</v>
      </c>
      <c r="F3" t="str">
        <v>GSM</v>
      </c>
      <c r="G3" t="str">
        <v>BF</v>
      </c>
      <c r="H3" t="str">
        <v>Color</v>
      </c>
      <c r="I3" t="str">
        <v>For (party/order)</v>
      </c>
      <c r="J3" t="str">
        <v>Sys KG</v>
      </c>
      <c r="K3" t="str">
        <v>Status</v>
      </c>
      <c r="L3" t="str">
        <v>Found ✓</v>
      </c>
      <c r="M3" t="str">
        <v>Phys. KG</v>
      </c>
    </row>
    <row r="4">
      <c r="A4">
        <v>1</v>
      </c>
      <c r="B4">
        <f>IF(Stock!B4="","",Stock!B4)</f>
      </c>
      <c r="C4">
        <f>IF(Stock!B4="","",Stock!C4)</f>
      </c>
      <c r="D4">
        <f>IF(Stock!B4="","",Stock!D4)</f>
      </c>
      <c r="E4">
        <f>IF(Stock!B4="","",Stock!E4)</f>
      </c>
      <c r="F4">
        <f>IF(Stock!B4="","",Stock!F4)</f>
      </c>
      <c r="G4">
        <f>IF(Stock!B4="","",Stock!G4)</f>
      </c>
      <c r="H4">
        <f>IF(Stock!B4="","",Stock!H4)</f>
      </c>
      <c r="I4">
        <f>IF(Stock!B4="","",Stock!I4)</f>
      </c>
      <c r="J4">
        <f>IF(Stock!B4="","",Stock!K4)</f>
      </c>
      <c r="K4">
        <f>IF(Stock!B4="","",Stock!L4)</f>
      </c>
      <c r="L4" t="str">
        <v/>
      </c>
      <c r="M4" t="str">
        <v/>
      </c>
    </row>
    <row r="5">
      <c r="A5">
        <v>2</v>
      </c>
      <c r="B5">
        <f>IF(Stock!B5="","",Stock!B5)</f>
      </c>
      <c r="C5">
        <f>IF(Stock!B5="","",Stock!C5)</f>
      </c>
      <c r="D5">
        <f>IF(Stock!B5="","",Stock!D5)</f>
      </c>
      <c r="E5">
        <f>IF(Stock!B5="","",Stock!E5)</f>
      </c>
      <c r="F5">
        <f>IF(Stock!B5="","",Stock!F5)</f>
      </c>
      <c r="G5">
        <f>IF(Stock!B5="","",Stock!G5)</f>
      </c>
      <c r="H5">
        <f>IF(Stock!B5="","",Stock!H5)</f>
      </c>
      <c r="I5">
        <f>IF(Stock!B5="","",Stock!I5)</f>
      </c>
      <c r="J5">
        <f>IF(Stock!B5="","",Stock!K5)</f>
      </c>
      <c r="K5">
        <f>IF(Stock!B5="","",Stock!L5)</f>
      </c>
      <c r="L5" t="str">
        <v/>
      </c>
      <c r="M5" t="str">
        <v/>
      </c>
    </row>
    <row r="6">
      <c r="A6">
        <v>3</v>
      </c>
      <c r="B6">
        <f>IF(Stock!B6="","",Stock!B6)</f>
      </c>
      <c r="C6">
        <f>IF(Stock!B6="","",Stock!C6)</f>
      </c>
      <c r="D6">
        <f>IF(Stock!B6="","",Stock!D6)</f>
      </c>
      <c r="E6">
        <f>IF(Stock!B6="","",Stock!E6)</f>
      </c>
      <c r="F6">
        <f>IF(Stock!B6="","",Stock!F6)</f>
      </c>
      <c r="G6">
        <f>IF(Stock!B6="","",Stock!G6)</f>
      </c>
      <c r="H6">
        <f>IF(Stock!B6="","",Stock!H6)</f>
      </c>
      <c r="I6">
        <f>IF(Stock!B6="","",Stock!I6)</f>
      </c>
      <c r="J6">
        <f>IF(Stock!B6="","",Stock!K6)</f>
      </c>
      <c r="K6">
        <f>IF(Stock!B6="","",Stock!L6)</f>
      </c>
      <c r="L6" t="str">
        <v/>
      </c>
      <c r="M6" t="str">
        <v/>
      </c>
    </row>
    <row r="7">
      <c r="A7">
        <v>4</v>
      </c>
      <c r="B7">
        <f>IF(Stock!B7="","",Stock!B7)</f>
      </c>
      <c r="C7">
        <f>IF(Stock!B7="","",Stock!C7)</f>
      </c>
      <c r="D7">
        <f>IF(Stock!B7="","",Stock!D7)</f>
      </c>
      <c r="E7">
        <f>IF(Stock!B7="","",Stock!E7)</f>
      </c>
      <c r="F7">
        <f>IF(Stock!B7="","",Stock!F7)</f>
      </c>
      <c r="G7">
        <f>IF(Stock!B7="","",Stock!G7)</f>
      </c>
      <c r="H7">
        <f>IF(Stock!B7="","",Stock!H7)</f>
      </c>
      <c r="I7">
        <f>IF(Stock!B7="","",Stock!I7)</f>
      </c>
      <c r="J7">
        <f>IF(Stock!B7="","",Stock!K7)</f>
      </c>
      <c r="K7">
        <f>IF(Stock!B7="","",Stock!L7)</f>
      </c>
      <c r="L7" t="str">
        <v/>
      </c>
      <c r="M7" t="str">
        <v/>
      </c>
    </row>
    <row r="8">
      <c r="A8">
        <v>5</v>
      </c>
      <c r="B8">
        <f>IF(Stock!B8="","",Stock!B8)</f>
      </c>
      <c r="C8">
        <f>IF(Stock!B8="","",Stock!C8)</f>
      </c>
      <c r="D8">
        <f>IF(Stock!B8="","",Stock!D8)</f>
      </c>
      <c r="E8">
        <f>IF(Stock!B8="","",Stock!E8)</f>
      </c>
      <c r="F8">
        <f>IF(Stock!B8="","",Stock!F8)</f>
      </c>
      <c r="G8">
        <f>IF(Stock!B8="","",Stock!G8)</f>
      </c>
      <c r="H8">
        <f>IF(Stock!B8="","",Stock!H8)</f>
      </c>
      <c r="I8">
        <f>IF(Stock!B8="","",Stock!I8)</f>
      </c>
      <c r="J8">
        <f>IF(Stock!B8="","",Stock!K8)</f>
      </c>
      <c r="K8">
        <f>IF(Stock!B8="","",Stock!L8)</f>
      </c>
      <c r="L8" t="str">
        <v/>
      </c>
      <c r="M8" t="str">
        <v/>
      </c>
    </row>
    <row r="9">
      <c r="A9">
        <v>6</v>
      </c>
      <c r="B9">
        <f>IF(Stock!B9="","",Stock!B9)</f>
      </c>
      <c r="C9">
        <f>IF(Stock!B9="","",Stock!C9)</f>
      </c>
      <c r="D9">
        <f>IF(Stock!B9="","",Stock!D9)</f>
      </c>
      <c r="E9">
        <f>IF(Stock!B9="","",Stock!E9)</f>
      </c>
      <c r="F9">
        <f>IF(Stock!B9="","",Stock!F9)</f>
      </c>
      <c r="G9">
        <f>IF(Stock!B9="","",Stock!G9)</f>
      </c>
      <c r="H9">
        <f>IF(Stock!B9="","",Stock!H9)</f>
      </c>
      <c r="I9">
        <f>IF(Stock!B9="","",Stock!I9)</f>
      </c>
      <c r="J9">
        <f>IF(Stock!B9="","",Stock!K9)</f>
      </c>
      <c r="K9">
        <f>IF(Stock!B9="","",Stock!L9)</f>
      </c>
      <c r="L9" t="str">
        <v/>
      </c>
      <c r="M9" t="str">
        <v/>
      </c>
    </row>
    <row r="10">
      <c r="A10">
        <v>7</v>
      </c>
      <c r="B10">
        <f>IF(Stock!B10="","",Stock!B10)</f>
      </c>
      <c r="C10">
        <f>IF(Stock!B10="","",Stock!C10)</f>
      </c>
      <c r="D10">
        <f>IF(Stock!B10="","",Stock!D10)</f>
      </c>
      <c r="E10">
        <f>IF(Stock!B10="","",Stock!E10)</f>
      </c>
      <c r="F10">
        <f>IF(Stock!B10="","",Stock!F10)</f>
      </c>
      <c r="G10">
        <f>IF(Stock!B10="","",Stock!G10)</f>
      </c>
      <c r="H10">
        <f>IF(Stock!B10="","",Stock!H10)</f>
      </c>
      <c r="I10">
        <f>IF(Stock!B10="","",Stock!I10)</f>
      </c>
      <c r="J10">
        <f>IF(Stock!B10="","",Stock!K10)</f>
      </c>
      <c r="K10">
        <f>IF(Stock!B10="","",Stock!L10)</f>
      </c>
      <c r="L10" t="str">
        <v/>
      </c>
      <c r="M10" t="str">
        <v/>
      </c>
    </row>
    <row r="11">
      <c r="A11">
        <v>8</v>
      </c>
      <c r="B11">
        <f>IF(Stock!B11="","",Stock!B11)</f>
      </c>
      <c r="C11">
        <f>IF(Stock!B11="","",Stock!C11)</f>
      </c>
      <c r="D11">
        <f>IF(Stock!B11="","",Stock!D11)</f>
      </c>
      <c r="E11">
        <f>IF(Stock!B11="","",Stock!E11)</f>
      </c>
      <c r="F11">
        <f>IF(Stock!B11="","",Stock!F11)</f>
      </c>
      <c r="G11">
        <f>IF(Stock!B11="","",Stock!G11)</f>
      </c>
      <c r="H11">
        <f>IF(Stock!B11="","",Stock!H11)</f>
      </c>
      <c r="I11">
        <f>IF(Stock!B11="","",Stock!I11)</f>
      </c>
      <c r="J11">
        <f>IF(Stock!B11="","",Stock!K11)</f>
      </c>
      <c r="K11">
        <f>IF(Stock!B11="","",Stock!L11)</f>
      </c>
      <c r="L11" t="str">
        <v/>
      </c>
      <c r="M11" t="str">
        <v/>
      </c>
    </row>
    <row r="12">
      <c r="A12">
        <v>9</v>
      </c>
      <c r="B12">
        <f>IF(Stock!B12="","",Stock!B12)</f>
      </c>
      <c r="C12">
        <f>IF(Stock!B12="","",Stock!C12)</f>
      </c>
      <c r="D12">
        <f>IF(Stock!B12="","",Stock!D12)</f>
      </c>
      <c r="E12">
        <f>IF(Stock!B12="","",Stock!E12)</f>
      </c>
      <c r="F12">
        <f>IF(Stock!B12="","",Stock!F12)</f>
      </c>
      <c r="G12">
        <f>IF(Stock!B12="","",Stock!G12)</f>
      </c>
      <c r="H12">
        <f>IF(Stock!B12="","",Stock!H12)</f>
      </c>
      <c r="I12">
        <f>IF(Stock!B12="","",Stock!I12)</f>
      </c>
      <c r="J12">
        <f>IF(Stock!B12="","",Stock!K12)</f>
      </c>
      <c r="K12">
        <f>IF(Stock!B12="","",Stock!L12)</f>
      </c>
      <c r="L12" t="str">
        <v/>
      </c>
      <c r="M12" t="str">
        <v/>
      </c>
    </row>
    <row r="13">
      <c r="A13">
        <v>10</v>
      </c>
      <c r="B13">
        <f>IF(Stock!B13="","",Stock!B13)</f>
      </c>
      <c r="C13">
        <f>IF(Stock!B13="","",Stock!C13)</f>
      </c>
      <c r="D13">
        <f>IF(Stock!B13="","",Stock!D13)</f>
      </c>
      <c r="E13">
        <f>IF(Stock!B13="","",Stock!E13)</f>
      </c>
      <c r="F13">
        <f>IF(Stock!B13="","",Stock!F13)</f>
      </c>
      <c r="G13">
        <f>IF(Stock!B13="","",Stock!G13)</f>
      </c>
      <c r="H13">
        <f>IF(Stock!B13="","",Stock!H13)</f>
      </c>
      <c r="I13">
        <f>IF(Stock!B13="","",Stock!I13)</f>
      </c>
      <c r="J13">
        <f>IF(Stock!B13="","",Stock!K13)</f>
      </c>
      <c r="K13">
        <f>IF(Stock!B13="","",Stock!L13)</f>
      </c>
      <c r="L13" t="str">
        <v/>
      </c>
      <c r="M13" t="str">
        <v/>
      </c>
    </row>
    <row r="14">
      <c r="A14">
        <v>11</v>
      </c>
      <c r="B14">
        <f>IF(Stock!B14="","",Stock!B14)</f>
      </c>
      <c r="C14">
        <f>IF(Stock!B14="","",Stock!C14)</f>
      </c>
      <c r="D14">
        <f>IF(Stock!B14="","",Stock!D14)</f>
      </c>
      <c r="E14">
        <f>IF(Stock!B14="","",Stock!E14)</f>
      </c>
      <c r="F14">
        <f>IF(Stock!B14="","",Stock!F14)</f>
      </c>
      <c r="G14">
        <f>IF(Stock!B14="","",Stock!G14)</f>
      </c>
      <c r="H14">
        <f>IF(Stock!B14="","",Stock!H14)</f>
      </c>
      <c r="I14">
        <f>IF(Stock!B14="","",Stock!I14)</f>
      </c>
      <c r="J14">
        <f>IF(Stock!B14="","",Stock!K14)</f>
      </c>
      <c r="K14">
        <f>IF(Stock!B14="","",Stock!L14)</f>
      </c>
      <c r="L14" t="str">
        <v/>
      </c>
      <c r="M14" t="str">
        <v/>
      </c>
    </row>
    <row r="15">
      <c r="A15">
        <v>12</v>
      </c>
      <c r="B15">
        <f>IF(Stock!B15="","",Stock!B15)</f>
      </c>
      <c r="C15">
        <f>IF(Stock!B15="","",Stock!C15)</f>
      </c>
      <c r="D15">
        <f>IF(Stock!B15="","",Stock!D15)</f>
      </c>
      <c r="E15">
        <f>IF(Stock!B15="","",Stock!E15)</f>
      </c>
      <c r="F15">
        <f>IF(Stock!B15="","",Stock!F15)</f>
      </c>
      <c r="G15">
        <f>IF(Stock!B15="","",Stock!G15)</f>
      </c>
      <c r="H15">
        <f>IF(Stock!B15="","",Stock!H15)</f>
      </c>
      <c r="I15">
        <f>IF(Stock!B15="","",Stock!I15)</f>
      </c>
      <c r="J15">
        <f>IF(Stock!B15="","",Stock!K15)</f>
      </c>
      <c r="K15">
        <f>IF(Stock!B15="","",Stock!L15)</f>
      </c>
      <c r="L15" t="str">
        <v/>
      </c>
      <c r="M15" t="str">
        <v/>
      </c>
    </row>
    <row r="16">
      <c r="A16">
        <v>13</v>
      </c>
      <c r="B16">
        <f>IF(Stock!B16="","",Stock!B16)</f>
      </c>
      <c r="C16">
        <f>IF(Stock!B16="","",Stock!C16)</f>
      </c>
      <c r="D16">
        <f>IF(Stock!B16="","",Stock!D16)</f>
      </c>
      <c r="E16">
        <f>IF(Stock!B16="","",Stock!E16)</f>
      </c>
      <c r="F16">
        <f>IF(Stock!B16="","",Stock!F16)</f>
      </c>
      <c r="G16">
        <f>IF(Stock!B16="","",Stock!G16)</f>
      </c>
      <c r="H16">
        <f>IF(Stock!B16="","",Stock!H16)</f>
      </c>
      <c r="I16">
        <f>IF(Stock!B16="","",Stock!I16)</f>
      </c>
      <c r="J16">
        <f>IF(Stock!B16="","",Stock!K16)</f>
      </c>
      <c r="K16">
        <f>IF(Stock!B16="","",Stock!L16)</f>
      </c>
      <c r="L16" t="str">
        <v/>
      </c>
      <c r="M16" t="str">
        <v/>
      </c>
    </row>
    <row r="17">
      <c r="A17">
        <v>14</v>
      </c>
      <c r="B17">
        <f>IF(Stock!B17="","",Stock!B17)</f>
      </c>
      <c r="C17">
        <f>IF(Stock!B17="","",Stock!C17)</f>
      </c>
      <c r="D17">
        <f>IF(Stock!B17="","",Stock!D17)</f>
      </c>
      <c r="E17">
        <f>IF(Stock!B17="","",Stock!E17)</f>
      </c>
      <c r="F17">
        <f>IF(Stock!B17="","",Stock!F17)</f>
      </c>
      <c r="G17">
        <f>IF(Stock!B17="","",Stock!G17)</f>
      </c>
      <c r="H17">
        <f>IF(Stock!B17="","",Stock!H17)</f>
      </c>
      <c r="I17">
        <f>IF(Stock!B17="","",Stock!I17)</f>
      </c>
      <c r="J17">
        <f>IF(Stock!B17="","",Stock!K17)</f>
      </c>
      <c r="K17">
        <f>IF(Stock!B17="","",Stock!L17)</f>
      </c>
      <c r="L17" t="str">
        <v/>
      </c>
      <c r="M17" t="str">
        <v/>
      </c>
    </row>
    <row r="18">
      <c r="A18">
        <v>15</v>
      </c>
      <c r="B18">
        <f>IF(Stock!B18="","",Stock!B18)</f>
      </c>
      <c r="C18">
        <f>IF(Stock!B18="","",Stock!C18)</f>
      </c>
      <c r="D18">
        <f>IF(Stock!B18="","",Stock!D18)</f>
      </c>
      <c r="E18">
        <f>IF(Stock!B18="","",Stock!E18)</f>
      </c>
      <c r="F18">
        <f>IF(Stock!B18="","",Stock!F18)</f>
      </c>
      <c r="G18">
        <f>IF(Stock!B18="","",Stock!G18)</f>
      </c>
      <c r="H18">
        <f>IF(Stock!B18="","",Stock!H18)</f>
      </c>
      <c r="I18">
        <f>IF(Stock!B18="","",Stock!I18)</f>
      </c>
      <c r="J18">
        <f>IF(Stock!B18="","",Stock!K18)</f>
      </c>
      <c r="K18">
        <f>IF(Stock!B18="","",Stock!L18)</f>
      </c>
      <c r="L18" t="str">
        <v/>
      </c>
      <c r="M18" t="str">
        <v/>
      </c>
    </row>
    <row r="19">
      <c r="A19">
        <v>16</v>
      </c>
      <c r="B19">
        <f>IF(Stock!B19="","",Stock!B19)</f>
      </c>
      <c r="C19">
        <f>IF(Stock!B19="","",Stock!C19)</f>
      </c>
      <c r="D19">
        <f>IF(Stock!B19="","",Stock!D19)</f>
      </c>
      <c r="E19">
        <f>IF(Stock!B19="","",Stock!E19)</f>
      </c>
      <c r="F19">
        <f>IF(Stock!B19="","",Stock!F19)</f>
      </c>
      <c r="G19">
        <f>IF(Stock!B19="","",Stock!G19)</f>
      </c>
      <c r="H19">
        <f>IF(Stock!B19="","",Stock!H19)</f>
      </c>
      <c r="I19">
        <f>IF(Stock!B19="","",Stock!I19)</f>
      </c>
      <c r="J19">
        <f>IF(Stock!B19="","",Stock!K19)</f>
      </c>
      <c r="K19">
        <f>IF(Stock!B19="","",Stock!L19)</f>
      </c>
      <c r="L19" t="str">
        <v/>
      </c>
      <c r="M19" t="str">
        <v/>
      </c>
    </row>
    <row r="20">
      <c r="A20">
        <v>17</v>
      </c>
      <c r="B20">
        <f>IF(Stock!B20="","",Stock!B20)</f>
      </c>
      <c r="C20">
        <f>IF(Stock!B20="","",Stock!C20)</f>
      </c>
      <c r="D20">
        <f>IF(Stock!B20="","",Stock!D20)</f>
      </c>
      <c r="E20">
        <f>IF(Stock!B20="","",Stock!E20)</f>
      </c>
      <c r="F20">
        <f>IF(Stock!B20="","",Stock!F20)</f>
      </c>
      <c r="G20">
        <f>IF(Stock!B20="","",Stock!G20)</f>
      </c>
      <c r="H20">
        <f>IF(Stock!B20="","",Stock!H20)</f>
      </c>
      <c r="I20">
        <f>IF(Stock!B20="","",Stock!I20)</f>
      </c>
      <c r="J20">
        <f>IF(Stock!B20="","",Stock!K20)</f>
      </c>
      <c r="K20">
        <f>IF(Stock!B20="","",Stock!L20)</f>
      </c>
      <c r="L20" t="str">
        <v/>
      </c>
      <c r="M20" t="str">
        <v/>
      </c>
    </row>
    <row r="21">
      <c r="A21">
        <v>18</v>
      </c>
      <c r="B21">
        <f>IF(Stock!B21="","",Stock!B21)</f>
      </c>
      <c r="C21">
        <f>IF(Stock!B21="","",Stock!C21)</f>
      </c>
      <c r="D21">
        <f>IF(Stock!B21="","",Stock!D21)</f>
      </c>
      <c r="E21">
        <f>IF(Stock!B21="","",Stock!E21)</f>
      </c>
      <c r="F21">
        <f>IF(Stock!B21="","",Stock!F21)</f>
      </c>
      <c r="G21">
        <f>IF(Stock!B21="","",Stock!G21)</f>
      </c>
      <c r="H21">
        <f>IF(Stock!B21="","",Stock!H21)</f>
      </c>
      <c r="I21">
        <f>IF(Stock!B21="","",Stock!I21)</f>
      </c>
      <c r="J21">
        <f>IF(Stock!B21="","",Stock!K21)</f>
      </c>
      <c r="K21">
        <f>IF(Stock!B21="","",Stock!L21)</f>
      </c>
      <c r="L21" t="str">
        <v/>
      </c>
      <c r="M21" t="str">
        <v/>
      </c>
    </row>
    <row r="22">
      <c r="A22">
        <v>19</v>
      </c>
      <c r="B22">
        <f>IF(Stock!B22="","",Stock!B22)</f>
      </c>
      <c r="C22">
        <f>IF(Stock!B22="","",Stock!C22)</f>
      </c>
      <c r="D22">
        <f>IF(Stock!B22="","",Stock!D22)</f>
      </c>
      <c r="E22">
        <f>IF(Stock!B22="","",Stock!E22)</f>
      </c>
      <c r="F22">
        <f>IF(Stock!B22="","",Stock!F22)</f>
      </c>
      <c r="G22">
        <f>IF(Stock!B22="","",Stock!G22)</f>
      </c>
      <c r="H22">
        <f>IF(Stock!B22="","",Stock!H22)</f>
      </c>
      <c r="I22">
        <f>IF(Stock!B22="","",Stock!I22)</f>
      </c>
      <c r="J22">
        <f>IF(Stock!B22="","",Stock!K22)</f>
      </c>
      <c r="K22">
        <f>IF(Stock!B22="","",Stock!L22)</f>
      </c>
      <c r="L22" t="str">
        <v/>
      </c>
      <c r="M22" t="str">
        <v/>
      </c>
    </row>
    <row r="23">
      <c r="A23">
        <v>20</v>
      </c>
      <c r="B23">
        <f>IF(Stock!B23="","",Stock!B23)</f>
      </c>
      <c r="C23">
        <f>IF(Stock!B23="","",Stock!C23)</f>
      </c>
      <c r="D23">
        <f>IF(Stock!B23="","",Stock!D23)</f>
      </c>
      <c r="E23">
        <f>IF(Stock!B23="","",Stock!E23)</f>
      </c>
      <c r="F23">
        <f>IF(Stock!B23="","",Stock!F23)</f>
      </c>
      <c r="G23">
        <f>IF(Stock!B23="","",Stock!G23)</f>
      </c>
      <c r="H23">
        <f>IF(Stock!B23="","",Stock!H23)</f>
      </c>
      <c r="I23">
        <f>IF(Stock!B23="","",Stock!I23)</f>
      </c>
      <c r="J23">
        <f>IF(Stock!B23="","",Stock!K23)</f>
      </c>
      <c r="K23">
        <f>IF(Stock!B23="","",Stock!L23)</f>
      </c>
      <c r="L23" t="str">
        <v/>
      </c>
      <c r="M23" t="str">
        <v/>
      </c>
    </row>
    <row r="24">
      <c r="A24">
        <v>21</v>
      </c>
      <c r="B24">
        <f>IF(Stock!B24="","",Stock!B24)</f>
      </c>
      <c r="C24">
        <f>IF(Stock!B24="","",Stock!C24)</f>
      </c>
      <c r="D24">
        <f>IF(Stock!B24="","",Stock!D24)</f>
      </c>
      <c r="E24">
        <f>IF(Stock!B24="","",Stock!E24)</f>
      </c>
      <c r="F24">
        <f>IF(Stock!B24="","",Stock!F24)</f>
      </c>
      <c r="G24">
        <f>IF(Stock!B24="","",Stock!G24)</f>
      </c>
      <c r="H24">
        <f>IF(Stock!B24="","",Stock!H24)</f>
      </c>
      <c r="I24">
        <f>IF(Stock!B24="","",Stock!I24)</f>
      </c>
      <c r="J24">
        <f>IF(Stock!B24="","",Stock!K24)</f>
      </c>
      <c r="K24">
        <f>IF(Stock!B24="","",Stock!L24)</f>
      </c>
      <c r="L24" t="str">
        <v/>
      </c>
      <c r="M24" t="str">
        <v/>
      </c>
    </row>
    <row r="25">
      <c r="A25">
        <v>22</v>
      </c>
      <c r="B25">
        <f>IF(Stock!B25="","",Stock!B25)</f>
      </c>
      <c r="C25">
        <f>IF(Stock!B25="","",Stock!C25)</f>
      </c>
      <c r="D25">
        <f>IF(Stock!B25="","",Stock!D25)</f>
      </c>
      <c r="E25">
        <f>IF(Stock!B25="","",Stock!E25)</f>
      </c>
      <c r="F25">
        <f>IF(Stock!B25="","",Stock!F25)</f>
      </c>
      <c r="G25">
        <f>IF(Stock!B25="","",Stock!G25)</f>
      </c>
      <c r="H25">
        <f>IF(Stock!B25="","",Stock!H25)</f>
      </c>
      <c r="I25">
        <f>IF(Stock!B25="","",Stock!I25)</f>
      </c>
      <c r="J25">
        <f>IF(Stock!B25="","",Stock!K25)</f>
      </c>
      <c r="K25">
        <f>IF(Stock!B25="","",Stock!L25)</f>
      </c>
      <c r="L25" t="str">
        <v/>
      </c>
      <c r="M25" t="str">
        <v/>
      </c>
    </row>
    <row r="26">
      <c r="A26">
        <v>23</v>
      </c>
      <c r="B26">
        <f>IF(Stock!B26="","",Stock!B26)</f>
      </c>
      <c r="C26">
        <f>IF(Stock!B26="","",Stock!C26)</f>
      </c>
      <c r="D26">
        <f>IF(Stock!B26="","",Stock!D26)</f>
      </c>
      <c r="E26">
        <f>IF(Stock!B26="","",Stock!E26)</f>
      </c>
      <c r="F26">
        <f>IF(Stock!B26="","",Stock!F26)</f>
      </c>
      <c r="G26">
        <f>IF(Stock!B26="","",Stock!G26)</f>
      </c>
      <c r="H26">
        <f>IF(Stock!B26="","",Stock!H26)</f>
      </c>
      <c r="I26">
        <f>IF(Stock!B26="","",Stock!I26)</f>
      </c>
      <c r="J26">
        <f>IF(Stock!B26="","",Stock!K26)</f>
      </c>
      <c r="K26">
        <f>IF(Stock!B26="","",Stock!L26)</f>
      </c>
      <c r="L26" t="str">
        <v/>
      </c>
      <c r="M26" t="str">
        <v/>
      </c>
    </row>
    <row r="27">
      <c r="A27">
        <v>24</v>
      </c>
      <c r="B27">
        <f>IF(Stock!B27="","",Stock!B27)</f>
      </c>
      <c r="C27">
        <f>IF(Stock!B27="","",Stock!C27)</f>
      </c>
      <c r="D27">
        <f>IF(Stock!B27="","",Stock!D27)</f>
      </c>
      <c r="E27">
        <f>IF(Stock!B27="","",Stock!E27)</f>
      </c>
      <c r="F27">
        <f>IF(Stock!B27="","",Stock!F27)</f>
      </c>
      <c r="G27">
        <f>IF(Stock!B27="","",Stock!G27)</f>
      </c>
      <c r="H27">
        <f>IF(Stock!B27="","",Stock!H27)</f>
      </c>
      <c r="I27">
        <f>IF(Stock!B27="","",Stock!I27)</f>
      </c>
      <c r="J27">
        <f>IF(Stock!B27="","",Stock!K27)</f>
      </c>
      <c r="K27">
        <f>IF(Stock!B27="","",Stock!L27)</f>
      </c>
      <c r="L27" t="str">
        <v/>
      </c>
      <c r="M27" t="str">
        <v/>
      </c>
    </row>
    <row r="28">
      <c r="A28">
        <v>25</v>
      </c>
      <c r="B28">
        <f>IF(Stock!B28="","",Stock!B28)</f>
      </c>
      <c r="C28">
        <f>IF(Stock!B28="","",Stock!C28)</f>
      </c>
      <c r="D28">
        <f>IF(Stock!B28="","",Stock!D28)</f>
      </c>
      <c r="E28">
        <f>IF(Stock!B28="","",Stock!E28)</f>
      </c>
      <c r="F28">
        <f>IF(Stock!B28="","",Stock!F28)</f>
      </c>
      <c r="G28">
        <f>IF(Stock!B28="","",Stock!G28)</f>
      </c>
      <c r="H28">
        <f>IF(Stock!B28="","",Stock!H28)</f>
      </c>
      <c r="I28">
        <f>IF(Stock!B28="","",Stock!I28)</f>
      </c>
      <c r="J28">
        <f>IF(Stock!B28="","",Stock!K28)</f>
      </c>
      <c r="K28">
        <f>IF(Stock!B28="","",Stock!L28)</f>
      </c>
      <c r="L28" t="str">
        <v/>
      </c>
      <c r="M28" t="str">
        <v/>
      </c>
    </row>
    <row r="29">
      <c r="A29">
        <v>26</v>
      </c>
      <c r="B29">
        <f>IF(Stock!B29="","",Stock!B29)</f>
      </c>
      <c r="C29">
        <f>IF(Stock!B29="","",Stock!C29)</f>
      </c>
      <c r="D29">
        <f>IF(Stock!B29="","",Stock!D29)</f>
      </c>
      <c r="E29">
        <f>IF(Stock!B29="","",Stock!E29)</f>
      </c>
      <c r="F29">
        <f>IF(Stock!B29="","",Stock!F29)</f>
      </c>
      <c r="G29">
        <f>IF(Stock!B29="","",Stock!G29)</f>
      </c>
      <c r="H29">
        <f>IF(Stock!B29="","",Stock!H29)</f>
      </c>
      <c r="I29">
        <f>IF(Stock!B29="","",Stock!I29)</f>
      </c>
      <c r="J29">
        <f>IF(Stock!B29="","",Stock!K29)</f>
      </c>
      <c r="K29">
        <f>IF(Stock!B29="","",Stock!L29)</f>
      </c>
      <c r="L29" t="str">
        <v/>
      </c>
      <c r="M29" t="str">
        <v/>
      </c>
    </row>
    <row r="30">
      <c r="A30">
        <v>27</v>
      </c>
      <c r="B30">
        <f>IF(Stock!B30="","",Stock!B30)</f>
      </c>
      <c r="C30">
        <f>IF(Stock!B30="","",Stock!C30)</f>
      </c>
      <c r="D30">
        <f>IF(Stock!B30="","",Stock!D30)</f>
      </c>
      <c r="E30">
        <f>IF(Stock!B30="","",Stock!E30)</f>
      </c>
      <c r="F30">
        <f>IF(Stock!B30="","",Stock!F30)</f>
      </c>
      <c r="G30">
        <f>IF(Stock!B30="","",Stock!G30)</f>
      </c>
      <c r="H30">
        <f>IF(Stock!B30="","",Stock!H30)</f>
      </c>
      <c r="I30">
        <f>IF(Stock!B30="","",Stock!I30)</f>
      </c>
      <c r="J30">
        <f>IF(Stock!B30="","",Stock!K30)</f>
      </c>
      <c r="K30">
        <f>IF(Stock!B30="","",Stock!L30)</f>
      </c>
      <c r="L30" t="str">
        <v/>
      </c>
      <c r="M30" t="str">
        <v/>
      </c>
    </row>
    <row r="31">
      <c r="A31">
        <v>28</v>
      </c>
      <c r="B31">
        <f>IF(Stock!B31="","",Stock!B31)</f>
      </c>
      <c r="C31">
        <f>IF(Stock!B31="","",Stock!C31)</f>
      </c>
      <c r="D31">
        <f>IF(Stock!B31="","",Stock!D31)</f>
      </c>
      <c r="E31">
        <f>IF(Stock!B31="","",Stock!E31)</f>
      </c>
      <c r="F31">
        <f>IF(Stock!B31="","",Stock!F31)</f>
      </c>
      <c r="G31">
        <f>IF(Stock!B31="","",Stock!G31)</f>
      </c>
      <c r="H31">
        <f>IF(Stock!B31="","",Stock!H31)</f>
      </c>
      <c r="I31">
        <f>IF(Stock!B31="","",Stock!I31)</f>
      </c>
      <c r="J31">
        <f>IF(Stock!B31="","",Stock!K31)</f>
      </c>
      <c r="K31">
        <f>IF(Stock!B31="","",Stock!L31)</f>
      </c>
      <c r="L31" t="str">
        <v/>
      </c>
      <c r="M31" t="str">
        <v/>
      </c>
    </row>
    <row r="32">
      <c r="A32">
        <v>29</v>
      </c>
      <c r="B32">
        <f>IF(Stock!B32="","",Stock!B32)</f>
      </c>
      <c r="C32">
        <f>IF(Stock!B32="","",Stock!C32)</f>
      </c>
      <c r="D32">
        <f>IF(Stock!B32="","",Stock!D32)</f>
      </c>
      <c r="E32">
        <f>IF(Stock!B32="","",Stock!E32)</f>
      </c>
      <c r="F32">
        <f>IF(Stock!B32="","",Stock!F32)</f>
      </c>
      <c r="G32">
        <f>IF(Stock!B32="","",Stock!G32)</f>
      </c>
      <c r="H32">
        <f>IF(Stock!B32="","",Stock!H32)</f>
      </c>
      <c r="I32">
        <f>IF(Stock!B32="","",Stock!I32)</f>
      </c>
      <c r="J32">
        <f>IF(Stock!B32="","",Stock!K32)</f>
      </c>
      <c r="K32">
        <f>IF(Stock!B32="","",Stock!L32)</f>
      </c>
      <c r="L32" t="str">
        <v/>
      </c>
      <c r="M32" t="str">
        <v/>
      </c>
    </row>
    <row r="33">
      <c r="A33">
        <v>30</v>
      </c>
      <c r="B33">
        <f>IF(Stock!B33="","",Stock!B33)</f>
      </c>
      <c r="C33">
        <f>IF(Stock!B33="","",Stock!C33)</f>
      </c>
      <c r="D33">
        <f>IF(Stock!B33="","",Stock!D33)</f>
      </c>
      <c r="E33">
        <f>IF(Stock!B33="","",Stock!E33)</f>
      </c>
      <c r="F33">
        <f>IF(Stock!B33="","",Stock!F33)</f>
      </c>
      <c r="G33">
        <f>IF(Stock!B33="","",Stock!G33)</f>
      </c>
      <c r="H33">
        <f>IF(Stock!B33="","",Stock!H33)</f>
      </c>
      <c r="I33">
        <f>IF(Stock!B33="","",Stock!I33)</f>
      </c>
      <c r="J33">
        <f>IF(Stock!B33="","",Stock!K33)</f>
      </c>
      <c r="K33">
        <f>IF(Stock!B33="","",Stock!L33)</f>
      </c>
      <c r="L33" t="str">
        <v/>
      </c>
      <c r="M33" t="str">
        <v/>
      </c>
    </row>
    <row r="34">
      <c r="A34">
        <v>31</v>
      </c>
      <c r="B34">
        <f>IF(Stock!B34="","",Stock!B34)</f>
      </c>
      <c r="C34">
        <f>IF(Stock!B34="","",Stock!C34)</f>
      </c>
      <c r="D34">
        <f>IF(Stock!B34="","",Stock!D34)</f>
      </c>
      <c r="E34">
        <f>IF(Stock!B34="","",Stock!E34)</f>
      </c>
      <c r="F34">
        <f>IF(Stock!B34="","",Stock!F34)</f>
      </c>
      <c r="G34">
        <f>IF(Stock!B34="","",Stock!G34)</f>
      </c>
      <c r="H34">
        <f>IF(Stock!B34="","",Stock!H34)</f>
      </c>
      <c r="I34">
        <f>IF(Stock!B34="","",Stock!I34)</f>
      </c>
      <c r="J34">
        <f>IF(Stock!B34="","",Stock!K34)</f>
      </c>
      <c r="K34">
        <f>IF(Stock!B34="","",Stock!L34)</f>
      </c>
      <c r="L34" t="str">
        <v/>
      </c>
      <c r="M34" t="str">
        <v/>
      </c>
    </row>
    <row r="35">
      <c r="A35">
        <v>32</v>
      </c>
      <c r="B35">
        <f>IF(Stock!B35="","",Stock!B35)</f>
      </c>
      <c r="C35">
        <f>IF(Stock!B35="","",Stock!C35)</f>
      </c>
      <c r="D35">
        <f>IF(Stock!B35="","",Stock!D35)</f>
      </c>
      <c r="E35">
        <f>IF(Stock!B35="","",Stock!E35)</f>
      </c>
      <c r="F35">
        <f>IF(Stock!B35="","",Stock!F35)</f>
      </c>
      <c r="G35">
        <f>IF(Stock!B35="","",Stock!G35)</f>
      </c>
      <c r="H35">
        <f>IF(Stock!B35="","",Stock!H35)</f>
      </c>
      <c r="I35">
        <f>IF(Stock!B35="","",Stock!I35)</f>
      </c>
      <c r="J35">
        <f>IF(Stock!B35="","",Stock!K35)</f>
      </c>
      <c r="K35">
        <f>IF(Stock!B35="","",Stock!L35)</f>
      </c>
      <c r="L35" t="str">
        <v/>
      </c>
      <c r="M35" t="str">
        <v/>
      </c>
    </row>
    <row r="36">
      <c r="A36">
        <v>33</v>
      </c>
      <c r="B36">
        <f>IF(Stock!B36="","",Stock!B36)</f>
      </c>
      <c r="C36">
        <f>IF(Stock!B36="","",Stock!C36)</f>
      </c>
      <c r="D36">
        <f>IF(Stock!B36="","",Stock!D36)</f>
      </c>
      <c r="E36">
        <f>IF(Stock!B36="","",Stock!E36)</f>
      </c>
      <c r="F36">
        <f>IF(Stock!B36="","",Stock!F36)</f>
      </c>
      <c r="G36">
        <f>IF(Stock!B36="","",Stock!G36)</f>
      </c>
      <c r="H36">
        <f>IF(Stock!B36="","",Stock!H36)</f>
      </c>
      <c r="I36">
        <f>IF(Stock!B36="","",Stock!I36)</f>
      </c>
      <c r="J36">
        <f>IF(Stock!B36="","",Stock!K36)</f>
      </c>
      <c r="K36">
        <f>IF(Stock!B36="","",Stock!L36)</f>
      </c>
      <c r="L36" t="str">
        <v/>
      </c>
      <c r="M36" t="str">
        <v/>
      </c>
    </row>
    <row r="37">
      <c r="A37">
        <v>34</v>
      </c>
      <c r="B37">
        <f>IF(Stock!B37="","",Stock!B37)</f>
      </c>
      <c r="C37">
        <f>IF(Stock!B37="","",Stock!C37)</f>
      </c>
      <c r="D37">
        <f>IF(Stock!B37="","",Stock!D37)</f>
      </c>
      <c r="E37">
        <f>IF(Stock!B37="","",Stock!E37)</f>
      </c>
      <c r="F37">
        <f>IF(Stock!B37="","",Stock!F37)</f>
      </c>
      <c r="G37">
        <f>IF(Stock!B37="","",Stock!G37)</f>
      </c>
      <c r="H37">
        <f>IF(Stock!B37="","",Stock!H37)</f>
      </c>
      <c r="I37">
        <f>IF(Stock!B37="","",Stock!I37)</f>
      </c>
      <c r="J37">
        <f>IF(Stock!B37="","",Stock!K37)</f>
      </c>
      <c r="K37">
        <f>IF(Stock!B37="","",Stock!L37)</f>
      </c>
      <c r="L37" t="str">
        <v/>
      </c>
      <c r="M37" t="str">
        <v/>
      </c>
    </row>
    <row r="38">
      <c r="A38">
        <v>35</v>
      </c>
      <c r="B38">
        <f>IF(Stock!B38="","",Stock!B38)</f>
      </c>
      <c r="C38">
        <f>IF(Stock!B38="","",Stock!C38)</f>
      </c>
      <c r="D38">
        <f>IF(Stock!B38="","",Stock!D38)</f>
      </c>
      <c r="E38">
        <f>IF(Stock!B38="","",Stock!E38)</f>
      </c>
      <c r="F38">
        <f>IF(Stock!B38="","",Stock!F38)</f>
      </c>
      <c r="G38">
        <f>IF(Stock!B38="","",Stock!G38)</f>
      </c>
      <c r="H38">
        <f>IF(Stock!B38="","",Stock!H38)</f>
      </c>
      <c r="I38">
        <f>IF(Stock!B38="","",Stock!I38)</f>
      </c>
      <c r="J38">
        <f>IF(Stock!B38="","",Stock!K38)</f>
      </c>
      <c r="K38">
        <f>IF(Stock!B38="","",Stock!L38)</f>
      </c>
      <c r="L38" t="str">
        <v/>
      </c>
      <c r="M38" t="str">
        <v/>
      </c>
    </row>
    <row r="39">
      <c r="A39">
        <v>36</v>
      </c>
      <c r="B39">
        <f>IF(Stock!B39="","",Stock!B39)</f>
      </c>
      <c r="C39">
        <f>IF(Stock!B39="","",Stock!C39)</f>
      </c>
      <c r="D39">
        <f>IF(Stock!B39="","",Stock!D39)</f>
      </c>
      <c r="E39">
        <f>IF(Stock!B39="","",Stock!E39)</f>
      </c>
      <c r="F39">
        <f>IF(Stock!B39="","",Stock!F39)</f>
      </c>
      <c r="G39">
        <f>IF(Stock!B39="","",Stock!G39)</f>
      </c>
      <c r="H39">
        <f>IF(Stock!B39="","",Stock!H39)</f>
      </c>
      <c r="I39">
        <f>IF(Stock!B39="","",Stock!I39)</f>
      </c>
      <c r="J39">
        <f>IF(Stock!B39="","",Stock!K39)</f>
      </c>
      <c r="K39">
        <f>IF(Stock!B39="","",Stock!L39)</f>
      </c>
      <c r="L39" t="str">
        <v/>
      </c>
      <c r="M39" t="str">
        <v/>
      </c>
    </row>
    <row r="40">
      <c r="A40">
        <v>37</v>
      </c>
      <c r="B40">
        <f>IF(Stock!B40="","",Stock!B40)</f>
      </c>
      <c r="C40">
        <f>IF(Stock!B40="","",Stock!C40)</f>
      </c>
      <c r="D40">
        <f>IF(Stock!B40="","",Stock!D40)</f>
      </c>
      <c r="E40">
        <f>IF(Stock!B40="","",Stock!E40)</f>
      </c>
      <c r="F40">
        <f>IF(Stock!B40="","",Stock!F40)</f>
      </c>
      <c r="G40">
        <f>IF(Stock!B40="","",Stock!G40)</f>
      </c>
      <c r="H40">
        <f>IF(Stock!B40="","",Stock!H40)</f>
      </c>
      <c r="I40">
        <f>IF(Stock!B40="","",Stock!I40)</f>
      </c>
      <c r="J40">
        <f>IF(Stock!B40="","",Stock!K40)</f>
      </c>
      <c r="K40">
        <f>IF(Stock!B40="","",Stock!L40)</f>
      </c>
      <c r="L40" t="str">
        <v/>
      </c>
      <c r="M40" t="str">
        <v/>
      </c>
    </row>
    <row r="41">
      <c r="A41">
        <v>38</v>
      </c>
      <c r="B41">
        <f>IF(Stock!B41="","",Stock!B41)</f>
      </c>
      <c r="C41">
        <f>IF(Stock!B41="","",Stock!C41)</f>
      </c>
      <c r="D41">
        <f>IF(Stock!B41="","",Stock!D41)</f>
      </c>
      <c r="E41">
        <f>IF(Stock!B41="","",Stock!E41)</f>
      </c>
      <c r="F41">
        <f>IF(Stock!B41="","",Stock!F41)</f>
      </c>
      <c r="G41">
        <f>IF(Stock!B41="","",Stock!G41)</f>
      </c>
      <c r="H41">
        <f>IF(Stock!B41="","",Stock!H41)</f>
      </c>
      <c r="I41">
        <f>IF(Stock!B41="","",Stock!I41)</f>
      </c>
      <c r="J41">
        <f>IF(Stock!B41="","",Stock!K41)</f>
      </c>
      <c r="K41">
        <f>IF(Stock!B41="","",Stock!L41)</f>
      </c>
      <c r="L41" t="str">
        <v/>
      </c>
      <c r="M41" t="str">
        <v/>
      </c>
    </row>
    <row r="42">
      <c r="A42">
        <v>39</v>
      </c>
      <c r="B42">
        <f>IF(Stock!B42="","",Stock!B42)</f>
      </c>
      <c r="C42">
        <f>IF(Stock!B42="","",Stock!C42)</f>
      </c>
      <c r="D42">
        <f>IF(Stock!B42="","",Stock!D42)</f>
      </c>
      <c r="E42">
        <f>IF(Stock!B42="","",Stock!E42)</f>
      </c>
      <c r="F42">
        <f>IF(Stock!B42="","",Stock!F42)</f>
      </c>
      <c r="G42">
        <f>IF(Stock!B42="","",Stock!G42)</f>
      </c>
      <c r="H42">
        <f>IF(Stock!B42="","",Stock!H42)</f>
      </c>
      <c r="I42">
        <f>IF(Stock!B42="","",Stock!I42)</f>
      </c>
      <c r="J42">
        <f>IF(Stock!B42="","",Stock!K42)</f>
      </c>
      <c r="K42">
        <f>IF(Stock!B42="","",Stock!L42)</f>
      </c>
      <c r="L42" t="str">
        <v/>
      </c>
      <c r="M42" t="str">
        <v/>
      </c>
    </row>
    <row r="43">
      <c r="A43">
        <v>40</v>
      </c>
      <c r="B43">
        <f>IF(Stock!B43="","",Stock!B43)</f>
      </c>
      <c r="C43">
        <f>IF(Stock!B43="","",Stock!C43)</f>
      </c>
      <c r="D43">
        <f>IF(Stock!B43="","",Stock!D43)</f>
      </c>
      <c r="E43">
        <f>IF(Stock!B43="","",Stock!E43)</f>
      </c>
      <c r="F43">
        <f>IF(Stock!B43="","",Stock!F43)</f>
      </c>
      <c r="G43">
        <f>IF(Stock!B43="","",Stock!G43)</f>
      </c>
      <c r="H43">
        <f>IF(Stock!B43="","",Stock!H43)</f>
      </c>
      <c r="I43">
        <f>IF(Stock!B43="","",Stock!I43)</f>
      </c>
      <c r="J43">
        <f>IF(Stock!B43="","",Stock!K43)</f>
      </c>
      <c r="K43">
        <f>IF(Stock!B43="","",Stock!L43)</f>
      </c>
      <c r="L43" t="str">
        <v/>
      </c>
      <c r="M43" t="str">
        <v/>
      </c>
    </row>
    <row r="44">
      <c r="A44">
        <v>41</v>
      </c>
      <c r="B44">
        <f>IF(Stock!B44="","",Stock!B44)</f>
      </c>
      <c r="C44">
        <f>IF(Stock!B44="","",Stock!C44)</f>
      </c>
      <c r="D44">
        <f>IF(Stock!B44="","",Stock!D44)</f>
      </c>
      <c r="E44">
        <f>IF(Stock!B44="","",Stock!E44)</f>
      </c>
      <c r="F44">
        <f>IF(Stock!B44="","",Stock!F44)</f>
      </c>
      <c r="G44">
        <f>IF(Stock!B44="","",Stock!G44)</f>
      </c>
      <c r="H44">
        <f>IF(Stock!B44="","",Stock!H44)</f>
      </c>
      <c r="I44">
        <f>IF(Stock!B44="","",Stock!I44)</f>
      </c>
      <c r="J44">
        <f>IF(Stock!B44="","",Stock!K44)</f>
      </c>
      <c r="K44">
        <f>IF(Stock!B44="","",Stock!L44)</f>
      </c>
      <c r="L44" t="str">
        <v/>
      </c>
      <c r="M44" t="str">
        <v/>
      </c>
    </row>
    <row r="45">
      <c r="A45">
        <v>42</v>
      </c>
      <c r="B45">
        <f>IF(Stock!B45="","",Stock!B45)</f>
      </c>
      <c r="C45">
        <f>IF(Stock!B45="","",Stock!C45)</f>
      </c>
      <c r="D45">
        <f>IF(Stock!B45="","",Stock!D45)</f>
      </c>
      <c r="E45">
        <f>IF(Stock!B45="","",Stock!E45)</f>
      </c>
      <c r="F45">
        <f>IF(Stock!B45="","",Stock!F45)</f>
      </c>
      <c r="G45">
        <f>IF(Stock!B45="","",Stock!G45)</f>
      </c>
      <c r="H45">
        <f>IF(Stock!B45="","",Stock!H45)</f>
      </c>
      <c r="I45">
        <f>IF(Stock!B45="","",Stock!I45)</f>
      </c>
      <c r="J45">
        <f>IF(Stock!B45="","",Stock!K45)</f>
      </c>
      <c r="K45">
        <f>IF(Stock!B45="","",Stock!L45)</f>
      </c>
      <c r="L45" t="str">
        <v/>
      </c>
      <c r="M45" t="str">
        <v/>
      </c>
    </row>
    <row r="46">
      <c r="A46">
        <v>43</v>
      </c>
      <c r="B46">
        <f>IF(Stock!B46="","",Stock!B46)</f>
      </c>
      <c r="C46">
        <f>IF(Stock!B46="","",Stock!C46)</f>
      </c>
      <c r="D46">
        <f>IF(Stock!B46="","",Stock!D46)</f>
      </c>
      <c r="E46">
        <f>IF(Stock!B46="","",Stock!E46)</f>
      </c>
      <c r="F46">
        <f>IF(Stock!B46="","",Stock!F46)</f>
      </c>
      <c r="G46">
        <f>IF(Stock!B46="","",Stock!G46)</f>
      </c>
      <c r="H46">
        <f>IF(Stock!B46="","",Stock!H46)</f>
      </c>
      <c r="I46">
        <f>IF(Stock!B46="","",Stock!I46)</f>
      </c>
      <c r="J46">
        <f>IF(Stock!B46="","",Stock!K46)</f>
      </c>
      <c r="K46">
        <f>IF(Stock!B46="","",Stock!L46)</f>
      </c>
      <c r="L46" t="str">
        <v/>
      </c>
      <c r="M46" t="str">
        <v/>
      </c>
    </row>
    <row r="47">
      <c r="A47">
        <v>44</v>
      </c>
      <c r="B47">
        <f>IF(Stock!B47="","",Stock!B47)</f>
      </c>
      <c r="C47">
        <f>IF(Stock!B47="","",Stock!C47)</f>
      </c>
      <c r="D47">
        <f>IF(Stock!B47="","",Stock!D47)</f>
      </c>
      <c r="E47">
        <f>IF(Stock!B47="","",Stock!E47)</f>
      </c>
      <c r="F47">
        <f>IF(Stock!B47="","",Stock!F47)</f>
      </c>
      <c r="G47">
        <f>IF(Stock!B47="","",Stock!G47)</f>
      </c>
      <c r="H47">
        <f>IF(Stock!B47="","",Stock!H47)</f>
      </c>
      <c r="I47">
        <f>IF(Stock!B47="","",Stock!I47)</f>
      </c>
      <c r="J47">
        <f>IF(Stock!B47="","",Stock!K47)</f>
      </c>
      <c r="K47">
        <f>IF(Stock!B47="","",Stock!L47)</f>
      </c>
      <c r="L47" t="str">
        <v/>
      </c>
      <c r="M47" t="str">
        <v/>
      </c>
    </row>
    <row r="48">
      <c r="A48">
        <v>45</v>
      </c>
      <c r="B48">
        <f>IF(Stock!B48="","",Stock!B48)</f>
      </c>
      <c r="C48">
        <f>IF(Stock!B48="","",Stock!C48)</f>
      </c>
      <c r="D48">
        <f>IF(Stock!B48="","",Stock!D48)</f>
      </c>
      <c r="E48">
        <f>IF(Stock!B48="","",Stock!E48)</f>
      </c>
      <c r="F48">
        <f>IF(Stock!B48="","",Stock!F48)</f>
      </c>
      <c r="G48">
        <f>IF(Stock!B48="","",Stock!G48)</f>
      </c>
      <c r="H48">
        <f>IF(Stock!B48="","",Stock!H48)</f>
      </c>
      <c r="I48">
        <f>IF(Stock!B48="","",Stock!I48)</f>
      </c>
      <c r="J48">
        <f>IF(Stock!B48="","",Stock!K48)</f>
      </c>
      <c r="K48">
        <f>IF(Stock!B48="","",Stock!L48)</f>
      </c>
      <c r="L48" t="str">
        <v/>
      </c>
      <c r="M48" t="str">
        <v/>
      </c>
    </row>
    <row r="49">
      <c r="A49">
        <v>46</v>
      </c>
      <c r="B49">
        <f>IF(Stock!B49="","",Stock!B49)</f>
      </c>
      <c r="C49">
        <f>IF(Stock!B49="","",Stock!C49)</f>
      </c>
      <c r="D49">
        <f>IF(Stock!B49="","",Stock!D49)</f>
      </c>
      <c r="E49">
        <f>IF(Stock!B49="","",Stock!E49)</f>
      </c>
      <c r="F49">
        <f>IF(Stock!B49="","",Stock!F49)</f>
      </c>
      <c r="G49">
        <f>IF(Stock!B49="","",Stock!G49)</f>
      </c>
      <c r="H49">
        <f>IF(Stock!B49="","",Stock!H49)</f>
      </c>
      <c r="I49">
        <f>IF(Stock!B49="","",Stock!I49)</f>
      </c>
      <c r="J49">
        <f>IF(Stock!B49="","",Stock!K49)</f>
      </c>
      <c r="K49">
        <f>IF(Stock!B49="","",Stock!L49)</f>
      </c>
      <c r="L49" t="str">
        <v/>
      </c>
      <c r="M49" t="str">
        <v/>
      </c>
    </row>
    <row r="50">
      <c r="A50">
        <v>47</v>
      </c>
      <c r="B50">
        <f>IF(Stock!B50="","",Stock!B50)</f>
      </c>
      <c r="C50">
        <f>IF(Stock!B50="","",Stock!C50)</f>
      </c>
      <c r="D50">
        <f>IF(Stock!B50="","",Stock!D50)</f>
      </c>
      <c r="E50">
        <f>IF(Stock!B50="","",Stock!E50)</f>
      </c>
      <c r="F50">
        <f>IF(Stock!B50="","",Stock!F50)</f>
      </c>
      <c r="G50">
        <f>IF(Stock!B50="","",Stock!G50)</f>
      </c>
      <c r="H50">
        <f>IF(Stock!B50="","",Stock!H50)</f>
      </c>
      <c r="I50">
        <f>IF(Stock!B50="","",Stock!I50)</f>
      </c>
      <c r="J50">
        <f>IF(Stock!B50="","",Stock!K50)</f>
      </c>
      <c r="K50">
        <f>IF(Stock!B50="","",Stock!L50)</f>
      </c>
      <c r="L50" t="str">
        <v/>
      </c>
      <c r="M50" t="str">
        <v/>
      </c>
    </row>
    <row r="51">
      <c r="A51">
        <v>48</v>
      </c>
      <c r="B51">
        <f>IF(Stock!B51="","",Stock!B51)</f>
      </c>
      <c r="C51">
        <f>IF(Stock!B51="","",Stock!C51)</f>
      </c>
      <c r="D51">
        <f>IF(Stock!B51="","",Stock!D51)</f>
      </c>
      <c r="E51">
        <f>IF(Stock!B51="","",Stock!E51)</f>
      </c>
      <c r="F51">
        <f>IF(Stock!B51="","",Stock!F51)</f>
      </c>
      <c r="G51">
        <f>IF(Stock!B51="","",Stock!G51)</f>
      </c>
      <c r="H51">
        <f>IF(Stock!B51="","",Stock!H51)</f>
      </c>
      <c r="I51">
        <f>IF(Stock!B51="","",Stock!I51)</f>
      </c>
      <c r="J51">
        <f>IF(Stock!B51="","",Stock!K51)</f>
      </c>
      <c r="K51">
        <f>IF(Stock!B51="","",Stock!L51)</f>
      </c>
      <c r="L51" t="str">
        <v/>
      </c>
      <c r="M51" t="str">
        <v/>
      </c>
    </row>
    <row r="52">
      <c r="A52">
        <v>49</v>
      </c>
      <c r="B52">
        <f>IF(Stock!B52="","",Stock!B52)</f>
      </c>
      <c r="C52">
        <f>IF(Stock!B52="","",Stock!C52)</f>
      </c>
      <c r="D52">
        <f>IF(Stock!B52="","",Stock!D52)</f>
      </c>
      <c r="E52">
        <f>IF(Stock!B52="","",Stock!E52)</f>
      </c>
      <c r="F52">
        <f>IF(Stock!B52="","",Stock!F52)</f>
      </c>
      <c r="G52">
        <f>IF(Stock!B52="","",Stock!G52)</f>
      </c>
      <c r="H52">
        <f>IF(Stock!B52="","",Stock!H52)</f>
      </c>
      <c r="I52">
        <f>IF(Stock!B52="","",Stock!I52)</f>
      </c>
      <c r="J52">
        <f>IF(Stock!B52="","",Stock!K52)</f>
      </c>
      <c r="K52">
        <f>IF(Stock!B52="","",Stock!L52)</f>
      </c>
      <c r="L52" t="str">
        <v/>
      </c>
      <c r="M52" t="str">
        <v/>
      </c>
    </row>
    <row r="53">
      <c r="A53">
        <v>50</v>
      </c>
      <c r="B53">
        <f>IF(Stock!B53="","",Stock!B53)</f>
      </c>
      <c r="C53">
        <f>IF(Stock!B53="","",Stock!C53)</f>
      </c>
      <c r="D53">
        <f>IF(Stock!B53="","",Stock!D53)</f>
      </c>
      <c r="E53">
        <f>IF(Stock!B53="","",Stock!E53)</f>
      </c>
      <c r="F53">
        <f>IF(Stock!B53="","",Stock!F53)</f>
      </c>
      <c r="G53">
        <f>IF(Stock!B53="","",Stock!G53)</f>
      </c>
      <c r="H53">
        <f>IF(Stock!B53="","",Stock!H53)</f>
      </c>
      <c r="I53">
        <f>IF(Stock!B53="","",Stock!I53)</f>
      </c>
      <c r="J53">
        <f>IF(Stock!B53="","",Stock!K53)</f>
      </c>
      <c r="K53">
        <f>IF(Stock!B53="","",Stock!L53)</f>
      </c>
      <c r="L53" t="str">
        <v/>
      </c>
      <c r="M53" t="str">
        <v/>
      </c>
    </row>
    <row r="54">
      <c r="A54">
        <v>51</v>
      </c>
      <c r="B54">
        <f>IF(Stock!B54="","",Stock!B54)</f>
      </c>
      <c r="C54">
        <f>IF(Stock!B54="","",Stock!C54)</f>
      </c>
      <c r="D54">
        <f>IF(Stock!B54="","",Stock!D54)</f>
      </c>
      <c r="E54">
        <f>IF(Stock!B54="","",Stock!E54)</f>
      </c>
      <c r="F54">
        <f>IF(Stock!B54="","",Stock!F54)</f>
      </c>
      <c r="G54">
        <f>IF(Stock!B54="","",Stock!G54)</f>
      </c>
      <c r="H54">
        <f>IF(Stock!B54="","",Stock!H54)</f>
      </c>
      <c r="I54">
        <f>IF(Stock!B54="","",Stock!I54)</f>
      </c>
      <c r="J54">
        <f>IF(Stock!B54="","",Stock!K54)</f>
      </c>
      <c r="K54">
        <f>IF(Stock!B54="","",Stock!L54)</f>
      </c>
      <c r="L54" t="str">
        <v/>
      </c>
      <c r="M54" t="str">
        <v/>
      </c>
    </row>
    <row r="55">
      <c r="A55">
        <v>52</v>
      </c>
      <c r="B55">
        <f>IF(Stock!B55="","",Stock!B55)</f>
      </c>
      <c r="C55">
        <f>IF(Stock!B55="","",Stock!C55)</f>
      </c>
      <c r="D55">
        <f>IF(Stock!B55="","",Stock!D55)</f>
      </c>
      <c r="E55">
        <f>IF(Stock!B55="","",Stock!E55)</f>
      </c>
      <c r="F55">
        <f>IF(Stock!B55="","",Stock!F55)</f>
      </c>
      <c r="G55">
        <f>IF(Stock!B55="","",Stock!G55)</f>
      </c>
      <c r="H55">
        <f>IF(Stock!B55="","",Stock!H55)</f>
      </c>
      <c r="I55">
        <f>IF(Stock!B55="","",Stock!I55)</f>
      </c>
      <c r="J55">
        <f>IF(Stock!B55="","",Stock!K55)</f>
      </c>
      <c r="K55">
        <f>IF(Stock!B55="","",Stock!L55)</f>
      </c>
      <c r="L55" t="str">
        <v/>
      </c>
      <c r="M55" t="str">
        <v/>
      </c>
    </row>
    <row r="56">
      <c r="A56">
        <v>53</v>
      </c>
      <c r="B56">
        <f>IF(Stock!B56="","",Stock!B56)</f>
      </c>
      <c r="C56">
        <f>IF(Stock!B56="","",Stock!C56)</f>
      </c>
      <c r="D56">
        <f>IF(Stock!B56="","",Stock!D56)</f>
      </c>
      <c r="E56">
        <f>IF(Stock!B56="","",Stock!E56)</f>
      </c>
      <c r="F56">
        <f>IF(Stock!B56="","",Stock!F56)</f>
      </c>
      <c r="G56">
        <f>IF(Stock!B56="","",Stock!G56)</f>
      </c>
      <c r="H56">
        <f>IF(Stock!B56="","",Stock!H56)</f>
      </c>
      <c r="I56">
        <f>IF(Stock!B56="","",Stock!I56)</f>
      </c>
      <c r="J56">
        <f>IF(Stock!B56="","",Stock!K56)</f>
      </c>
      <c r="K56">
        <f>IF(Stock!B56="","",Stock!L56)</f>
      </c>
      <c r="L56" t="str">
        <v/>
      </c>
      <c r="M56" t="str">
        <v/>
      </c>
    </row>
    <row r="57">
      <c r="A57">
        <v>54</v>
      </c>
      <c r="B57">
        <f>IF(Stock!B57="","",Stock!B57)</f>
      </c>
      <c r="C57">
        <f>IF(Stock!B57="","",Stock!C57)</f>
      </c>
      <c r="D57">
        <f>IF(Stock!B57="","",Stock!D57)</f>
      </c>
      <c r="E57">
        <f>IF(Stock!B57="","",Stock!E57)</f>
      </c>
      <c r="F57">
        <f>IF(Stock!B57="","",Stock!F57)</f>
      </c>
      <c r="G57">
        <f>IF(Stock!B57="","",Stock!G57)</f>
      </c>
      <c r="H57">
        <f>IF(Stock!B57="","",Stock!H57)</f>
      </c>
      <c r="I57">
        <f>IF(Stock!B57="","",Stock!I57)</f>
      </c>
      <c r="J57">
        <f>IF(Stock!B57="","",Stock!K57)</f>
      </c>
      <c r="K57">
        <f>IF(Stock!B57="","",Stock!L57)</f>
      </c>
      <c r="L57" t="str">
        <v/>
      </c>
      <c r="M57" t="str">
        <v/>
      </c>
    </row>
    <row r="58">
      <c r="A58">
        <v>55</v>
      </c>
      <c r="B58">
        <f>IF(Stock!B58="","",Stock!B58)</f>
      </c>
      <c r="C58">
        <f>IF(Stock!B58="","",Stock!C58)</f>
      </c>
      <c r="D58">
        <f>IF(Stock!B58="","",Stock!D58)</f>
      </c>
      <c r="E58">
        <f>IF(Stock!B58="","",Stock!E58)</f>
      </c>
      <c r="F58">
        <f>IF(Stock!B58="","",Stock!F58)</f>
      </c>
      <c r="G58">
        <f>IF(Stock!B58="","",Stock!G58)</f>
      </c>
      <c r="H58">
        <f>IF(Stock!B58="","",Stock!H58)</f>
      </c>
      <c r="I58">
        <f>IF(Stock!B58="","",Stock!I58)</f>
      </c>
      <c r="J58">
        <f>IF(Stock!B58="","",Stock!K58)</f>
      </c>
      <c r="K58">
        <f>IF(Stock!B58="","",Stock!L58)</f>
      </c>
      <c r="L58" t="str">
        <v/>
      </c>
      <c r="M58" t="str">
        <v/>
      </c>
    </row>
    <row r="59">
      <c r="A59">
        <v>56</v>
      </c>
      <c r="B59">
        <f>IF(Stock!B59="","",Stock!B59)</f>
      </c>
      <c r="C59">
        <f>IF(Stock!B59="","",Stock!C59)</f>
      </c>
      <c r="D59">
        <f>IF(Stock!B59="","",Stock!D59)</f>
      </c>
      <c r="E59">
        <f>IF(Stock!B59="","",Stock!E59)</f>
      </c>
      <c r="F59">
        <f>IF(Stock!B59="","",Stock!F59)</f>
      </c>
      <c r="G59">
        <f>IF(Stock!B59="","",Stock!G59)</f>
      </c>
      <c r="H59">
        <f>IF(Stock!B59="","",Stock!H59)</f>
      </c>
      <c r="I59">
        <f>IF(Stock!B59="","",Stock!I59)</f>
      </c>
      <c r="J59">
        <f>IF(Stock!B59="","",Stock!K59)</f>
      </c>
      <c r="K59">
        <f>IF(Stock!B59="","",Stock!L59)</f>
      </c>
      <c r="L59" t="str">
        <v/>
      </c>
      <c r="M59" t="str">
        <v/>
      </c>
    </row>
    <row r="60">
      <c r="A60">
        <v>57</v>
      </c>
      <c r="B60">
        <f>IF(Stock!B60="","",Stock!B60)</f>
      </c>
      <c r="C60">
        <f>IF(Stock!B60="","",Stock!C60)</f>
      </c>
      <c r="D60">
        <f>IF(Stock!B60="","",Stock!D60)</f>
      </c>
      <c r="E60">
        <f>IF(Stock!B60="","",Stock!E60)</f>
      </c>
      <c r="F60">
        <f>IF(Stock!B60="","",Stock!F60)</f>
      </c>
      <c r="G60">
        <f>IF(Stock!B60="","",Stock!G60)</f>
      </c>
      <c r="H60">
        <f>IF(Stock!B60="","",Stock!H60)</f>
      </c>
      <c r="I60">
        <f>IF(Stock!B60="","",Stock!I60)</f>
      </c>
      <c r="J60">
        <f>IF(Stock!B60="","",Stock!K60)</f>
      </c>
      <c r="K60">
        <f>IF(Stock!B60="","",Stock!L60)</f>
      </c>
      <c r="L60" t="str">
        <v/>
      </c>
      <c r="M60" t="str">
        <v/>
      </c>
    </row>
    <row r="61">
      <c r="A61">
        <v>58</v>
      </c>
      <c r="B61">
        <f>IF(Stock!B61="","",Stock!B61)</f>
      </c>
      <c r="C61">
        <f>IF(Stock!B61="","",Stock!C61)</f>
      </c>
      <c r="D61">
        <f>IF(Stock!B61="","",Stock!D61)</f>
      </c>
      <c r="E61">
        <f>IF(Stock!B61="","",Stock!E61)</f>
      </c>
      <c r="F61">
        <f>IF(Stock!B61="","",Stock!F61)</f>
      </c>
      <c r="G61">
        <f>IF(Stock!B61="","",Stock!G61)</f>
      </c>
      <c r="H61">
        <f>IF(Stock!B61="","",Stock!H61)</f>
      </c>
      <c r="I61">
        <f>IF(Stock!B61="","",Stock!I61)</f>
      </c>
      <c r="J61">
        <f>IF(Stock!B61="","",Stock!K61)</f>
      </c>
      <c r="K61">
        <f>IF(Stock!B61="","",Stock!L61)</f>
      </c>
      <c r="L61" t="str">
        <v/>
      </c>
      <c r="M61" t="str">
        <v/>
      </c>
    </row>
    <row r="62">
      <c r="A62">
        <v>59</v>
      </c>
      <c r="B62">
        <f>IF(Stock!B62="","",Stock!B62)</f>
      </c>
      <c r="C62">
        <f>IF(Stock!B62="","",Stock!C62)</f>
      </c>
      <c r="D62">
        <f>IF(Stock!B62="","",Stock!D62)</f>
      </c>
      <c r="E62">
        <f>IF(Stock!B62="","",Stock!E62)</f>
      </c>
      <c r="F62">
        <f>IF(Stock!B62="","",Stock!F62)</f>
      </c>
      <c r="G62">
        <f>IF(Stock!B62="","",Stock!G62)</f>
      </c>
      <c r="H62">
        <f>IF(Stock!B62="","",Stock!H62)</f>
      </c>
      <c r="I62">
        <f>IF(Stock!B62="","",Stock!I62)</f>
      </c>
      <c r="J62">
        <f>IF(Stock!B62="","",Stock!K62)</f>
      </c>
      <c r="K62">
        <f>IF(Stock!B62="","",Stock!L62)</f>
      </c>
      <c r="L62" t="str">
        <v/>
      </c>
      <c r="M62" t="str">
        <v/>
      </c>
    </row>
    <row r="63">
      <c r="A63">
        <v>60</v>
      </c>
      <c r="B63">
        <f>IF(Stock!B63="","",Stock!B63)</f>
      </c>
      <c r="C63">
        <f>IF(Stock!B63="","",Stock!C63)</f>
      </c>
      <c r="D63">
        <f>IF(Stock!B63="","",Stock!D63)</f>
      </c>
      <c r="E63">
        <f>IF(Stock!B63="","",Stock!E63)</f>
      </c>
      <c r="F63">
        <f>IF(Stock!B63="","",Stock!F63)</f>
      </c>
      <c r="G63">
        <f>IF(Stock!B63="","",Stock!G63)</f>
      </c>
      <c r="H63">
        <f>IF(Stock!B63="","",Stock!H63)</f>
      </c>
      <c r="I63">
        <f>IF(Stock!B63="","",Stock!I63)</f>
      </c>
      <c r="J63">
        <f>IF(Stock!B63="","",Stock!K63)</f>
      </c>
      <c r="K63">
        <f>IF(Stock!B63="","",Stock!L63)</f>
      </c>
      <c r="L63" t="str">
        <v/>
      </c>
      <c r="M63" t="str">
        <v/>
      </c>
    </row>
    <row r="64">
      <c r="A64">
        <v>61</v>
      </c>
      <c r="B64">
        <f>IF(Stock!B64="","",Stock!B64)</f>
      </c>
      <c r="C64">
        <f>IF(Stock!B64="","",Stock!C64)</f>
      </c>
      <c r="D64">
        <f>IF(Stock!B64="","",Stock!D64)</f>
      </c>
      <c r="E64">
        <f>IF(Stock!B64="","",Stock!E64)</f>
      </c>
      <c r="F64">
        <f>IF(Stock!B64="","",Stock!F64)</f>
      </c>
      <c r="G64">
        <f>IF(Stock!B64="","",Stock!G64)</f>
      </c>
      <c r="H64">
        <f>IF(Stock!B64="","",Stock!H64)</f>
      </c>
      <c r="I64">
        <f>IF(Stock!B64="","",Stock!I64)</f>
      </c>
      <c r="J64">
        <f>IF(Stock!B64="","",Stock!K64)</f>
      </c>
      <c r="K64">
        <f>IF(Stock!B64="","",Stock!L64)</f>
      </c>
      <c r="L64" t="str">
        <v/>
      </c>
      <c r="M64" t="str">
        <v/>
      </c>
    </row>
    <row r="65">
      <c r="A65">
        <v>62</v>
      </c>
      <c r="B65">
        <f>IF(Stock!B65="","",Stock!B65)</f>
      </c>
      <c r="C65">
        <f>IF(Stock!B65="","",Stock!C65)</f>
      </c>
      <c r="D65">
        <f>IF(Stock!B65="","",Stock!D65)</f>
      </c>
      <c r="E65">
        <f>IF(Stock!B65="","",Stock!E65)</f>
      </c>
      <c r="F65">
        <f>IF(Stock!B65="","",Stock!F65)</f>
      </c>
      <c r="G65">
        <f>IF(Stock!B65="","",Stock!G65)</f>
      </c>
      <c r="H65">
        <f>IF(Stock!B65="","",Stock!H65)</f>
      </c>
      <c r="I65">
        <f>IF(Stock!B65="","",Stock!I65)</f>
      </c>
      <c r="J65">
        <f>IF(Stock!B65="","",Stock!K65)</f>
      </c>
      <c r="K65">
        <f>IF(Stock!B65="","",Stock!L65)</f>
      </c>
      <c r="L65" t="str">
        <v/>
      </c>
      <c r="M65" t="str">
        <v/>
      </c>
    </row>
    <row r="66">
      <c r="A66">
        <v>63</v>
      </c>
      <c r="B66">
        <f>IF(Stock!B66="","",Stock!B66)</f>
      </c>
      <c r="C66">
        <f>IF(Stock!B66="","",Stock!C66)</f>
      </c>
      <c r="D66">
        <f>IF(Stock!B66="","",Stock!D66)</f>
      </c>
      <c r="E66">
        <f>IF(Stock!B66="","",Stock!E66)</f>
      </c>
      <c r="F66">
        <f>IF(Stock!B66="","",Stock!F66)</f>
      </c>
      <c r="G66">
        <f>IF(Stock!B66="","",Stock!G66)</f>
      </c>
      <c r="H66">
        <f>IF(Stock!B66="","",Stock!H66)</f>
      </c>
      <c r="I66">
        <f>IF(Stock!B66="","",Stock!I66)</f>
      </c>
      <c r="J66">
        <f>IF(Stock!B66="","",Stock!K66)</f>
      </c>
      <c r="K66">
        <f>IF(Stock!B66="","",Stock!L66)</f>
      </c>
      <c r="L66" t="str">
        <v/>
      </c>
      <c r="M66" t="str">
        <v/>
      </c>
    </row>
    <row r="67">
      <c r="A67">
        <v>64</v>
      </c>
      <c r="B67">
        <f>IF(Stock!B67="","",Stock!B67)</f>
      </c>
      <c r="C67">
        <f>IF(Stock!B67="","",Stock!C67)</f>
      </c>
      <c r="D67">
        <f>IF(Stock!B67="","",Stock!D67)</f>
      </c>
      <c r="E67">
        <f>IF(Stock!B67="","",Stock!E67)</f>
      </c>
      <c r="F67">
        <f>IF(Stock!B67="","",Stock!F67)</f>
      </c>
      <c r="G67">
        <f>IF(Stock!B67="","",Stock!G67)</f>
      </c>
      <c r="H67">
        <f>IF(Stock!B67="","",Stock!H67)</f>
      </c>
      <c r="I67">
        <f>IF(Stock!B67="","",Stock!I67)</f>
      </c>
      <c r="J67">
        <f>IF(Stock!B67="","",Stock!K67)</f>
      </c>
      <c r="K67">
        <f>IF(Stock!B67="","",Stock!L67)</f>
      </c>
      <c r="L67" t="str">
        <v/>
      </c>
      <c r="M67" t="str">
        <v/>
      </c>
    </row>
    <row r="68">
      <c r="A68">
        <v>65</v>
      </c>
      <c r="B68">
        <f>IF(Stock!B68="","",Stock!B68)</f>
      </c>
      <c r="C68">
        <f>IF(Stock!B68="","",Stock!C68)</f>
      </c>
      <c r="D68">
        <f>IF(Stock!B68="","",Stock!D68)</f>
      </c>
      <c r="E68">
        <f>IF(Stock!B68="","",Stock!E68)</f>
      </c>
      <c r="F68">
        <f>IF(Stock!B68="","",Stock!F68)</f>
      </c>
      <c r="G68">
        <f>IF(Stock!B68="","",Stock!G68)</f>
      </c>
      <c r="H68">
        <f>IF(Stock!B68="","",Stock!H68)</f>
      </c>
      <c r="I68">
        <f>IF(Stock!B68="","",Stock!I68)</f>
      </c>
      <c r="J68">
        <f>IF(Stock!B68="","",Stock!K68)</f>
      </c>
      <c r="K68">
        <f>IF(Stock!B68="","",Stock!L68)</f>
      </c>
      <c r="L68" t="str">
        <v/>
      </c>
      <c r="M68" t="str">
        <v/>
      </c>
    </row>
    <row r="69">
      <c r="A69">
        <v>66</v>
      </c>
      <c r="B69">
        <f>IF(Stock!B69="","",Stock!B69)</f>
      </c>
      <c r="C69">
        <f>IF(Stock!B69="","",Stock!C69)</f>
      </c>
      <c r="D69">
        <f>IF(Stock!B69="","",Stock!D69)</f>
      </c>
      <c r="E69">
        <f>IF(Stock!B69="","",Stock!E69)</f>
      </c>
      <c r="F69">
        <f>IF(Stock!B69="","",Stock!F69)</f>
      </c>
      <c r="G69">
        <f>IF(Stock!B69="","",Stock!G69)</f>
      </c>
      <c r="H69">
        <f>IF(Stock!B69="","",Stock!H69)</f>
      </c>
      <c r="I69">
        <f>IF(Stock!B69="","",Stock!I69)</f>
      </c>
      <c r="J69">
        <f>IF(Stock!B69="","",Stock!K69)</f>
      </c>
      <c r="K69">
        <f>IF(Stock!B69="","",Stock!L69)</f>
      </c>
      <c r="L69" t="str">
        <v/>
      </c>
      <c r="M69" t="str">
        <v/>
      </c>
    </row>
    <row r="70">
      <c r="A70">
        <v>67</v>
      </c>
      <c r="B70">
        <f>IF(Stock!B70="","",Stock!B70)</f>
      </c>
      <c r="C70">
        <f>IF(Stock!B70="","",Stock!C70)</f>
      </c>
      <c r="D70">
        <f>IF(Stock!B70="","",Stock!D70)</f>
      </c>
      <c r="E70">
        <f>IF(Stock!B70="","",Stock!E70)</f>
      </c>
      <c r="F70">
        <f>IF(Stock!B70="","",Stock!F70)</f>
      </c>
      <c r="G70">
        <f>IF(Stock!B70="","",Stock!G70)</f>
      </c>
      <c r="H70">
        <f>IF(Stock!B70="","",Stock!H70)</f>
      </c>
      <c r="I70">
        <f>IF(Stock!B70="","",Stock!I70)</f>
      </c>
      <c r="J70">
        <f>IF(Stock!B70="","",Stock!K70)</f>
      </c>
      <c r="K70">
        <f>IF(Stock!B70="","",Stock!L70)</f>
      </c>
      <c r="L70" t="str">
        <v/>
      </c>
      <c r="M70" t="str">
        <v/>
      </c>
    </row>
    <row r="71">
      <c r="A71">
        <v>68</v>
      </c>
      <c r="B71">
        <f>IF(Stock!B71="","",Stock!B71)</f>
      </c>
      <c r="C71">
        <f>IF(Stock!B71="","",Stock!C71)</f>
      </c>
      <c r="D71">
        <f>IF(Stock!B71="","",Stock!D71)</f>
      </c>
      <c r="E71">
        <f>IF(Stock!B71="","",Stock!E71)</f>
      </c>
      <c r="F71">
        <f>IF(Stock!B71="","",Stock!F71)</f>
      </c>
      <c r="G71">
        <f>IF(Stock!B71="","",Stock!G71)</f>
      </c>
      <c r="H71">
        <f>IF(Stock!B71="","",Stock!H71)</f>
      </c>
      <c r="I71">
        <f>IF(Stock!B71="","",Stock!I71)</f>
      </c>
      <c r="J71">
        <f>IF(Stock!B71="","",Stock!K71)</f>
      </c>
      <c r="K71">
        <f>IF(Stock!B71="","",Stock!L71)</f>
      </c>
      <c r="L71" t="str">
        <v/>
      </c>
      <c r="M71" t="str">
        <v/>
      </c>
    </row>
    <row r="72">
      <c r="A72">
        <v>69</v>
      </c>
      <c r="B72">
        <f>IF(Stock!B72="","",Stock!B72)</f>
      </c>
      <c r="C72">
        <f>IF(Stock!B72="","",Stock!C72)</f>
      </c>
      <c r="D72">
        <f>IF(Stock!B72="","",Stock!D72)</f>
      </c>
      <c r="E72">
        <f>IF(Stock!B72="","",Stock!E72)</f>
      </c>
      <c r="F72">
        <f>IF(Stock!B72="","",Stock!F72)</f>
      </c>
      <c r="G72">
        <f>IF(Stock!B72="","",Stock!G72)</f>
      </c>
      <c r="H72">
        <f>IF(Stock!B72="","",Stock!H72)</f>
      </c>
      <c r="I72">
        <f>IF(Stock!B72="","",Stock!I72)</f>
      </c>
      <c r="J72">
        <f>IF(Stock!B72="","",Stock!K72)</f>
      </c>
      <c r="K72">
        <f>IF(Stock!B72="","",Stock!L72)</f>
      </c>
      <c r="L72" t="str">
        <v/>
      </c>
      <c r="M72" t="str">
        <v/>
      </c>
    </row>
    <row r="73">
      <c r="A73">
        <v>70</v>
      </c>
      <c r="B73">
        <f>IF(Stock!B73="","",Stock!B73)</f>
      </c>
      <c r="C73">
        <f>IF(Stock!B73="","",Stock!C73)</f>
      </c>
      <c r="D73">
        <f>IF(Stock!B73="","",Stock!D73)</f>
      </c>
      <c r="E73">
        <f>IF(Stock!B73="","",Stock!E73)</f>
      </c>
      <c r="F73">
        <f>IF(Stock!B73="","",Stock!F73)</f>
      </c>
      <c r="G73">
        <f>IF(Stock!B73="","",Stock!G73)</f>
      </c>
      <c r="H73">
        <f>IF(Stock!B73="","",Stock!H73)</f>
      </c>
      <c r="I73">
        <f>IF(Stock!B73="","",Stock!I73)</f>
      </c>
      <c r="J73">
        <f>IF(Stock!B73="","",Stock!K73)</f>
      </c>
      <c r="K73">
        <f>IF(Stock!B73="","",Stock!L73)</f>
      </c>
      <c r="L73" t="str">
        <v/>
      </c>
      <c r="M73" t="str">
        <v/>
      </c>
    </row>
    <row r="74">
      <c r="A74">
        <v>71</v>
      </c>
      <c r="B74">
        <f>IF(Stock!B74="","",Stock!B74)</f>
      </c>
      <c r="C74">
        <f>IF(Stock!B74="","",Stock!C74)</f>
      </c>
      <c r="D74">
        <f>IF(Stock!B74="","",Stock!D74)</f>
      </c>
      <c r="E74">
        <f>IF(Stock!B74="","",Stock!E74)</f>
      </c>
      <c r="F74">
        <f>IF(Stock!B74="","",Stock!F74)</f>
      </c>
      <c r="G74">
        <f>IF(Stock!B74="","",Stock!G74)</f>
      </c>
      <c r="H74">
        <f>IF(Stock!B74="","",Stock!H74)</f>
      </c>
      <c r="I74">
        <f>IF(Stock!B74="","",Stock!I74)</f>
      </c>
      <c r="J74">
        <f>IF(Stock!B74="","",Stock!K74)</f>
      </c>
      <c r="K74">
        <f>IF(Stock!B74="","",Stock!L74)</f>
      </c>
      <c r="L74" t="str">
        <v/>
      </c>
      <c r="M74" t="str">
        <v/>
      </c>
    </row>
    <row r="75">
      <c r="A75">
        <v>72</v>
      </c>
      <c r="B75">
        <f>IF(Stock!B75="","",Stock!B75)</f>
      </c>
      <c r="C75">
        <f>IF(Stock!B75="","",Stock!C75)</f>
      </c>
      <c r="D75">
        <f>IF(Stock!B75="","",Stock!D75)</f>
      </c>
      <c r="E75">
        <f>IF(Stock!B75="","",Stock!E75)</f>
      </c>
      <c r="F75">
        <f>IF(Stock!B75="","",Stock!F75)</f>
      </c>
      <c r="G75">
        <f>IF(Stock!B75="","",Stock!G75)</f>
      </c>
      <c r="H75">
        <f>IF(Stock!B75="","",Stock!H75)</f>
      </c>
      <c r="I75">
        <f>IF(Stock!B75="","",Stock!I75)</f>
      </c>
      <c r="J75">
        <f>IF(Stock!B75="","",Stock!K75)</f>
      </c>
      <c r="K75">
        <f>IF(Stock!B75="","",Stock!L75)</f>
      </c>
      <c r="L75" t="str">
        <v/>
      </c>
      <c r="M75" t="str">
        <v/>
      </c>
    </row>
    <row r="76">
      <c r="A76">
        <v>73</v>
      </c>
      <c r="B76">
        <f>IF(Stock!B76="","",Stock!B76)</f>
      </c>
      <c r="C76">
        <f>IF(Stock!B76="","",Stock!C76)</f>
      </c>
      <c r="D76">
        <f>IF(Stock!B76="","",Stock!D76)</f>
      </c>
      <c r="E76">
        <f>IF(Stock!B76="","",Stock!E76)</f>
      </c>
      <c r="F76">
        <f>IF(Stock!B76="","",Stock!F76)</f>
      </c>
      <c r="G76">
        <f>IF(Stock!B76="","",Stock!G76)</f>
      </c>
      <c r="H76">
        <f>IF(Stock!B76="","",Stock!H76)</f>
      </c>
      <c r="I76">
        <f>IF(Stock!B76="","",Stock!I76)</f>
      </c>
      <c r="J76">
        <f>IF(Stock!B76="","",Stock!K76)</f>
      </c>
      <c r="K76">
        <f>IF(Stock!B76="","",Stock!L76)</f>
      </c>
      <c r="L76" t="str">
        <v/>
      </c>
      <c r="M76" t="str">
        <v/>
      </c>
    </row>
    <row r="77">
      <c r="A77">
        <v>74</v>
      </c>
      <c r="B77">
        <f>IF(Stock!B77="","",Stock!B77)</f>
      </c>
      <c r="C77">
        <f>IF(Stock!B77="","",Stock!C77)</f>
      </c>
      <c r="D77">
        <f>IF(Stock!B77="","",Stock!D77)</f>
      </c>
      <c r="E77">
        <f>IF(Stock!B77="","",Stock!E77)</f>
      </c>
      <c r="F77">
        <f>IF(Stock!B77="","",Stock!F77)</f>
      </c>
      <c r="G77">
        <f>IF(Stock!B77="","",Stock!G77)</f>
      </c>
      <c r="H77">
        <f>IF(Stock!B77="","",Stock!H77)</f>
      </c>
      <c r="I77">
        <f>IF(Stock!B77="","",Stock!I77)</f>
      </c>
      <c r="J77">
        <f>IF(Stock!B77="","",Stock!K77)</f>
      </c>
      <c r="K77">
        <f>IF(Stock!B77="","",Stock!L77)</f>
      </c>
      <c r="L77" t="str">
        <v/>
      </c>
      <c r="M77" t="str">
        <v/>
      </c>
    </row>
    <row r="78">
      <c r="A78">
        <v>75</v>
      </c>
      <c r="B78">
        <f>IF(Stock!B78="","",Stock!B78)</f>
      </c>
      <c r="C78">
        <f>IF(Stock!B78="","",Stock!C78)</f>
      </c>
      <c r="D78">
        <f>IF(Stock!B78="","",Stock!D78)</f>
      </c>
      <c r="E78">
        <f>IF(Stock!B78="","",Stock!E78)</f>
      </c>
      <c r="F78">
        <f>IF(Stock!B78="","",Stock!F78)</f>
      </c>
      <c r="G78">
        <f>IF(Stock!B78="","",Stock!G78)</f>
      </c>
      <c r="H78">
        <f>IF(Stock!B78="","",Stock!H78)</f>
      </c>
      <c r="I78">
        <f>IF(Stock!B78="","",Stock!I78)</f>
      </c>
      <c r="J78">
        <f>IF(Stock!B78="","",Stock!K78)</f>
      </c>
      <c r="K78">
        <f>IF(Stock!B78="","",Stock!L78)</f>
      </c>
      <c r="L78" t="str">
        <v/>
      </c>
      <c r="M78" t="str">
        <v/>
      </c>
    </row>
    <row r="79">
      <c r="A79">
        <v>76</v>
      </c>
      <c r="B79">
        <f>IF(Stock!B79="","",Stock!B79)</f>
      </c>
      <c r="C79">
        <f>IF(Stock!B79="","",Stock!C79)</f>
      </c>
      <c r="D79">
        <f>IF(Stock!B79="","",Stock!D79)</f>
      </c>
      <c r="E79">
        <f>IF(Stock!B79="","",Stock!E79)</f>
      </c>
      <c r="F79">
        <f>IF(Stock!B79="","",Stock!F79)</f>
      </c>
      <c r="G79">
        <f>IF(Stock!B79="","",Stock!G79)</f>
      </c>
      <c r="H79">
        <f>IF(Stock!B79="","",Stock!H79)</f>
      </c>
      <c r="I79">
        <f>IF(Stock!B79="","",Stock!I79)</f>
      </c>
      <c r="J79">
        <f>IF(Stock!B79="","",Stock!K79)</f>
      </c>
      <c r="K79">
        <f>IF(Stock!B79="","",Stock!L79)</f>
      </c>
      <c r="L79" t="str">
        <v/>
      </c>
      <c r="M79" t="str">
        <v/>
      </c>
    </row>
    <row r="80">
      <c r="A80">
        <v>77</v>
      </c>
      <c r="B80">
        <f>IF(Stock!B80="","",Stock!B80)</f>
      </c>
      <c r="C80">
        <f>IF(Stock!B80="","",Stock!C80)</f>
      </c>
      <c r="D80">
        <f>IF(Stock!B80="","",Stock!D80)</f>
      </c>
      <c r="E80">
        <f>IF(Stock!B80="","",Stock!E80)</f>
      </c>
      <c r="F80">
        <f>IF(Stock!B80="","",Stock!F80)</f>
      </c>
      <c r="G80">
        <f>IF(Stock!B80="","",Stock!G80)</f>
      </c>
      <c r="H80">
        <f>IF(Stock!B80="","",Stock!H80)</f>
      </c>
      <c r="I80">
        <f>IF(Stock!B80="","",Stock!I80)</f>
      </c>
      <c r="J80">
        <f>IF(Stock!B80="","",Stock!K80)</f>
      </c>
      <c r="K80">
        <f>IF(Stock!B80="","",Stock!L80)</f>
      </c>
      <c r="L80" t="str">
        <v/>
      </c>
      <c r="M80" t="str">
        <v/>
      </c>
    </row>
    <row r="81">
      <c r="A81">
        <v>78</v>
      </c>
      <c r="B81">
        <f>IF(Stock!B81="","",Stock!B81)</f>
      </c>
      <c r="C81">
        <f>IF(Stock!B81="","",Stock!C81)</f>
      </c>
      <c r="D81">
        <f>IF(Stock!B81="","",Stock!D81)</f>
      </c>
      <c r="E81">
        <f>IF(Stock!B81="","",Stock!E81)</f>
      </c>
      <c r="F81">
        <f>IF(Stock!B81="","",Stock!F81)</f>
      </c>
      <c r="G81">
        <f>IF(Stock!B81="","",Stock!G81)</f>
      </c>
      <c r="H81">
        <f>IF(Stock!B81="","",Stock!H81)</f>
      </c>
      <c r="I81">
        <f>IF(Stock!B81="","",Stock!I81)</f>
      </c>
      <c r="J81">
        <f>IF(Stock!B81="","",Stock!K81)</f>
      </c>
      <c r="K81">
        <f>IF(Stock!B81="","",Stock!L81)</f>
      </c>
      <c r="L81" t="str">
        <v/>
      </c>
      <c r="M81" t="str">
        <v/>
      </c>
    </row>
    <row r="82">
      <c r="A82">
        <v>79</v>
      </c>
      <c r="B82">
        <f>IF(Stock!B82="","",Stock!B82)</f>
      </c>
      <c r="C82">
        <f>IF(Stock!B82="","",Stock!C82)</f>
      </c>
      <c r="D82">
        <f>IF(Stock!B82="","",Stock!D82)</f>
      </c>
      <c r="E82">
        <f>IF(Stock!B82="","",Stock!E82)</f>
      </c>
      <c r="F82">
        <f>IF(Stock!B82="","",Stock!F82)</f>
      </c>
      <c r="G82">
        <f>IF(Stock!B82="","",Stock!G82)</f>
      </c>
      <c r="H82">
        <f>IF(Stock!B82="","",Stock!H82)</f>
      </c>
      <c r="I82">
        <f>IF(Stock!B82="","",Stock!I82)</f>
      </c>
      <c r="J82">
        <f>IF(Stock!B82="","",Stock!K82)</f>
      </c>
      <c r="K82">
        <f>IF(Stock!B82="","",Stock!L82)</f>
      </c>
      <c r="L82" t="str">
        <v/>
      </c>
      <c r="M82" t="str">
        <v/>
      </c>
    </row>
    <row r="83">
      <c r="A83">
        <v>80</v>
      </c>
      <c r="B83">
        <f>IF(Stock!B83="","",Stock!B83)</f>
      </c>
      <c r="C83">
        <f>IF(Stock!B83="","",Stock!C83)</f>
      </c>
      <c r="D83">
        <f>IF(Stock!B83="","",Stock!D83)</f>
      </c>
      <c r="E83">
        <f>IF(Stock!B83="","",Stock!E83)</f>
      </c>
      <c r="F83">
        <f>IF(Stock!B83="","",Stock!F83)</f>
      </c>
      <c r="G83">
        <f>IF(Stock!B83="","",Stock!G83)</f>
      </c>
      <c r="H83">
        <f>IF(Stock!B83="","",Stock!H83)</f>
      </c>
      <c r="I83">
        <f>IF(Stock!B83="","",Stock!I83)</f>
      </c>
      <c r="J83">
        <f>IF(Stock!B83="","",Stock!K83)</f>
      </c>
      <c r="K83">
        <f>IF(Stock!B83="","",Stock!L83)</f>
      </c>
      <c r="L83" t="str">
        <v/>
      </c>
      <c r="M83" t="str">
        <v/>
      </c>
    </row>
  </sheetData>
  <ignoredErrors>
    <ignoredError numberStoredAsText="1" sqref="A1:M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</vt:lpstr>
      <vt:lpstr>Stock</vt:lpstr>
      <vt:lpstr>Consume</vt:lpstr>
      <vt:lpstr>Summary</vt:lpstr>
      <vt:lpstr>Physical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