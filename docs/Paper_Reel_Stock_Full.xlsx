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an\GIT\pama-suite\docs\"/>
    </mc:Choice>
  </mc:AlternateContent>
  <xr:revisionPtr revIDLastSave="0" documentId="13_ncr:1_{B560C5DB-0F41-4EF0-A0CC-E05EC356342A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Dashboard" sheetId="1" r:id="rId1"/>
    <sheet name="Settings" sheetId="2" r:id="rId2"/>
    <sheet name="Reel Register" sheetId="3" r:id="rId3"/>
    <sheet name="Usage Log" sheetId="4" r:id="rId4"/>
    <sheet name="Breakdown" sheetId="5" r:id="rId5"/>
    <sheet name="Physical Verify" sheetId="6" r:id="rId6"/>
  </sheets>
  <definedNames>
    <definedName name="_xlnm._FilterDatabase" localSheetId="4" hidden="1">Breakdown!$A$3:$H$43</definedName>
    <definedName name="_xlnm._FilterDatabase" localSheetId="5" hidden="1">'Physical Verify'!$A$3:$M$203</definedName>
    <definedName name="_xlnm._FilterDatabase" localSheetId="2" hidden="1">'Reel Register'!$A$3:$P$203</definedName>
    <definedName name="_xlnm._FilterDatabase" localSheetId="3" hidden="1">'Usage Log'!$A$3:$G$503</definedName>
    <definedName name="_xlnm.Print_Titles" localSheetId="5">'Physical Verify'!$3:$3</definedName>
  </definedNames>
  <calcPr calcId="191029"/>
</workbook>
</file>

<file path=xl/calcChain.xml><?xml version="1.0" encoding="utf-8"?>
<calcChain xmlns="http://schemas.openxmlformats.org/spreadsheetml/2006/main">
  <c r="F6" i="4" l="1"/>
  <c r="N10" i="3"/>
  <c r="N5" i="3"/>
  <c r="N6" i="3"/>
  <c r="N7" i="3"/>
  <c r="N8" i="3"/>
  <c r="N9" i="3"/>
  <c r="N11" i="3"/>
  <c r="N4" i="3"/>
  <c r="J203" i="6"/>
  <c r="I203" i="6"/>
  <c r="H203" i="6"/>
  <c r="G203" i="6"/>
  <c r="F203" i="6"/>
  <c r="E203" i="6"/>
  <c r="D203" i="6"/>
  <c r="C203" i="6"/>
  <c r="B203" i="6"/>
  <c r="A203" i="6"/>
  <c r="J202" i="6"/>
  <c r="I202" i="6"/>
  <c r="H202" i="6"/>
  <c r="G202" i="6"/>
  <c r="F202" i="6"/>
  <c r="E202" i="6"/>
  <c r="D202" i="6"/>
  <c r="C202" i="6"/>
  <c r="B202" i="6"/>
  <c r="A202" i="6"/>
  <c r="J201" i="6"/>
  <c r="I201" i="6"/>
  <c r="H201" i="6"/>
  <c r="G201" i="6"/>
  <c r="F201" i="6"/>
  <c r="E201" i="6"/>
  <c r="D201" i="6"/>
  <c r="C201" i="6"/>
  <c r="B201" i="6"/>
  <c r="A201" i="6"/>
  <c r="J200" i="6"/>
  <c r="I200" i="6"/>
  <c r="H200" i="6"/>
  <c r="G200" i="6"/>
  <c r="F200" i="6"/>
  <c r="E200" i="6"/>
  <c r="D200" i="6"/>
  <c r="C200" i="6"/>
  <c r="B200" i="6"/>
  <c r="A200" i="6"/>
  <c r="J199" i="6"/>
  <c r="I199" i="6"/>
  <c r="H199" i="6"/>
  <c r="G199" i="6"/>
  <c r="F199" i="6"/>
  <c r="E199" i="6"/>
  <c r="D199" i="6"/>
  <c r="C199" i="6"/>
  <c r="B199" i="6"/>
  <c r="A199" i="6"/>
  <c r="J198" i="6"/>
  <c r="I198" i="6"/>
  <c r="H198" i="6"/>
  <c r="G198" i="6"/>
  <c r="F198" i="6"/>
  <c r="E198" i="6"/>
  <c r="D198" i="6"/>
  <c r="C198" i="6"/>
  <c r="B198" i="6"/>
  <c r="A198" i="6"/>
  <c r="J197" i="6"/>
  <c r="I197" i="6"/>
  <c r="H197" i="6"/>
  <c r="G197" i="6"/>
  <c r="F197" i="6"/>
  <c r="E197" i="6"/>
  <c r="D197" i="6"/>
  <c r="C197" i="6"/>
  <c r="B197" i="6"/>
  <c r="A197" i="6"/>
  <c r="J196" i="6"/>
  <c r="I196" i="6"/>
  <c r="H196" i="6"/>
  <c r="G196" i="6"/>
  <c r="F196" i="6"/>
  <c r="E196" i="6"/>
  <c r="D196" i="6"/>
  <c r="C196" i="6"/>
  <c r="B196" i="6"/>
  <c r="A196" i="6"/>
  <c r="J195" i="6"/>
  <c r="I195" i="6"/>
  <c r="H195" i="6"/>
  <c r="G195" i="6"/>
  <c r="F195" i="6"/>
  <c r="E195" i="6"/>
  <c r="D195" i="6"/>
  <c r="C195" i="6"/>
  <c r="B195" i="6"/>
  <c r="A195" i="6"/>
  <c r="J194" i="6"/>
  <c r="I194" i="6"/>
  <c r="H194" i="6"/>
  <c r="G194" i="6"/>
  <c r="F194" i="6"/>
  <c r="E194" i="6"/>
  <c r="D194" i="6"/>
  <c r="C194" i="6"/>
  <c r="B194" i="6"/>
  <c r="A194" i="6"/>
  <c r="J193" i="6"/>
  <c r="I193" i="6"/>
  <c r="H193" i="6"/>
  <c r="G193" i="6"/>
  <c r="F193" i="6"/>
  <c r="E193" i="6"/>
  <c r="D193" i="6"/>
  <c r="C193" i="6"/>
  <c r="B193" i="6"/>
  <c r="A193" i="6"/>
  <c r="J192" i="6"/>
  <c r="I192" i="6"/>
  <c r="H192" i="6"/>
  <c r="G192" i="6"/>
  <c r="F192" i="6"/>
  <c r="E192" i="6"/>
  <c r="D192" i="6"/>
  <c r="C192" i="6"/>
  <c r="B192" i="6"/>
  <c r="A192" i="6"/>
  <c r="J191" i="6"/>
  <c r="I191" i="6"/>
  <c r="H191" i="6"/>
  <c r="G191" i="6"/>
  <c r="F191" i="6"/>
  <c r="E191" i="6"/>
  <c r="D191" i="6"/>
  <c r="C191" i="6"/>
  <c r="B191" i="6"/>
  <c r="A191" i="6"/>
  <c r="J190" i="6"/>
  <c r="I190" i="6"/>
  <c r="H190" i="6"/>
  <c r="G190" i="6"/>
  <c r="F190" i="6"/>
  <c r="E190" i="6"/>
  <c r="D190" i="6"/>
  <c r="C190" i="6"/>
  <c r="B190" i="6"/>
  <c r="A190" i="6"/>
  <c r="J189" i="6"/>
  <c r="I189" i="6"/>
  <c r="H189" i="6"/>
  <c r="G189" i="6"/>
  <c r="F189" i="6"/>
  <c r="E189" i="6"/>
  <c r="D189" i="6"/>
  <c r="C189" i="6"/>
  <c r="B189" i="6"/>
  <c r="A189" i="6"/>
  <c r="J188" i="6"/>
  <c r="I188" i="6"/>
  <c r="H188" i="6"/>
  <c r="G188" i="6"/>
  <c r="F188" i="6"/>
  <c r="E188" i="6"/>
  <c r="D188" i="6"/>
  <c r="C188" i="6"/>
  <c r="B188" i="6"/>
  <c r="A188" i="6"/>
  <c r="J187" i="6"/>
  <c r="I187" i="6"/>
  <c r="H187" i="6"/>
  <c r="G187" i="6"/>
  <c r="F187" i="6"/>
  <c r="E187" i="6"/>
  <c r="D187" i="6"/>
  <c r="C187" i="6"/>
  <c r="B187" i="6"/>
  <c r="A187" i="6"/>
  <c r="J186" i="6"/>
  <c r="I186" i="6"/>
  <c r="H186" i="6"/>
  <c r="G186" i="6"/>
  <c r="F186" i="6"/>
  <c r="E186" i="6"/>
  <c r="D186" i="6"/>
  <c r="C186" i="6"/>
  <c r="B186" i="6"/>
  <c r="A186" i="6"/>
  <c r="J185" i="6"/>
  <c r="I185" i="6"/>
  <c r="H185" i="6"/>
  <c r="G185" i="6"/>
  <c r="F185" i="6"/>
  <c r="E185" i="6"/>
  <c r="D185" i="6"/>
  <c r="C185" i="6"/>
  <c r="B185" i="6"/>
  <c r="A185" i="6"/>
  <c r="J184" i="6"/>
  <c r="I184" i="6"/>
  <c r="H184" i="6"/>
  <c r="G184" i="6"/>
  <c r="F184" i="6"/>
  <c r="E184" i="6"/>
  <c r="D184" i="6"/>
  <c r="C184" i="6"/>
  <c r="B184" i="6"/>
  <c r="A184" i="6"/>
  <c r="J183" i="6"/>
  <c r="I183" i="6"/>
  <c r="H183" i="6"/>
  <c r="G183" i="6"/>
  <c r="F183" i="6"/>
  <c r="E183" i="6"/>
  <c r="D183" i="6"/>
  <c r="C183" i="6"/>
  <c r="B183" i="6"/>
  <c r="A183" i="6"/>
  <c r="J182" i="6"/>
  <c r="I182" i="6"/>
  <c r="H182" i="6"/>
  <c r="G182" i="6"/>
  <c r="F182" i="6"/>
  <c r="E182" i="6"/>
  <c r="D182" i="6"/>
  <c r="C182" i="6"/>
  <c r="B182" i="6"/>
  <c r="A182" i="6"/>
  <c r="J181" i="6"/>
  <c r="I181" i="6"/>
  <c r="H181" i="6"/>
  <c r="G181" i="6"/>
  <c r="F181" i="6"/>
  <c r="E181" i="6"/>
  <c r="D181" i="6"/>
  <c r="C181" i="6"/>
  <c r="B181" i="6"/>
  <c r="A181" i="6"/>
  <c r="J180" i="6"/>
  <c r="I180" i="6"/>
  <c r="H180" i="6"/>
  <c r="G180" i="6"/>
  <c r="F180" i="6"/>
  <c r="E180" i="6"/>
  <c r="D180" i="6"/>
  <c r="C180" i="6"/>
  <c r="B180" i="6"/>
  <c r="A180" i="6"/>
  <c r="J179" i="6"/>
  <c r="I179" i="6"/>
  <c r="H179" i="6"/>
  <c r="G179" i="6"/>
  <c r="F179" i="6"/>
  <c r="E179" i="6"/>
  <c r="D179" i="6"/>
  <c r="C179" i="6"/>
  <c r="B179" i="6"/>
  <c r="A179" i="6"/>
  <c r="J178" i="6"/>
  <c r="I178" i="6"/>
  <c r="H178" i="6"/>
  <c r="G178" i="6"/>
  <c r="F178" i="6"/>
  <c r="E178" i="6"/>
  <c r="D178" i="6"/>
  <c r="C178" i="6"/>
  <c r="B178" i="6"/>
  <c r="A178" i="6"/>
  <c r="J177" i="6"/>
  <c r="I177" i="6"/>
  <c r="H177" i="6"/>
  <c r="G177" i="6"/>
  <c r="F177" i="6"/>
  <c r="E177" i="6"/>
  <c r="D177" i="6"/>
  <c r="C177" i="6"/>
  <c r="B177" i="6"/>
  <c r="A177" i="6"/>
  <c r="J176" i="6"/>
  <c r="I176" i="6"/>
  <c r="H176" i="6"/>
  <c r="G176" i="6"/>
  <c r="F176" i="6"/>
  <c r="E176" i="6"/>
  <c r="D176" i="6"/>
  <c r="C176" i="6"/>
  <c r="B176" i="6"/>
  <c r="A176" i="6"/>
  <c r="J175" i="6"/>
  <c r="I175" i="6"/>
  <c r="H175" i="6"/>
  <c r="G175" i="6"/>
  <c r="F175" i="6"/>
  <c r="E175" i="6"/>
  <c r="D175" i="6"/>
  <c r="C175" i="6"/>
  <c r="B175" i="6"/>
  <c r="A175" i="6"/>
  <c r="J174" i="6"/>
  <c r="I174" i="6"/>
  <c r="H174" i="6"/>
  <c r="G174" i="6"/>
  <c r="F174" i="6"/>
  <c r="E174" i="6"/>
  <c r="D174" i="6"/>
  <c r="C174" i="6"/>
  <c r="B174" i="6"/>
  <c r="A174" i="6"/>
  <c r="J173" i="6"/>
  <c r="I173" i="6"/>
  <c r="H173" i="6"/>
  <c r="G173" i="6"/>
  <c r="F173" i="6"/>
  <c r="E173" i="6"/>
  <c r="D173" i="6"/>
  <c r="C173" i="6"/>
  <c r="B173" i="6"/>
  <c r="A173" i="6"/>
  <c r="J172" i="6"/>
  <c r="I172" i="6"/>
  <c r="H172" i="6"/>
  <c r="G172" i="6"/>
  <c r="F172" i="6"/>
  <c r="E172" i="6"/>
  <c r="D172" i="6"/>
  <c r="C172" i="6"/>
  <c r="B172" i="6"/>
  <c r="A172" i="6"/>
  <c r="J171" i="6"/>
  <c r="I171" i="6"/>
  <c r="H171" i="6"/>
  <c r="G171" i="6"/>
  <c r="F171" i="6"/>
  <c r="E171" i="6"/>
  <c r="D171" i="6"/>
  <c r="C171" i="6"/>
  <c r="B171" i="6"/>
  <c r="A171" i="6"/>
  <c r="J170" i="6"/>
  <c r="I170" i="6"/>
  <c r="H170" i="6"/>
  <c r="G170" i="6"/>
  <c r="F170" i="6"/>
  <c r="E170" i="6"/>
  <c r="D170" i="6"/>
  <c r="C170" i="6"/>
  <c r="B170" i="6"/>
  <c r="A170" i="6"/>
  <c r="J169" i="6"/>
  <c r="I169" i="6"/>
  <c r="H169" i="6"/>
  <c r="G169" i="6"/>
  <c r="F169" i="6"/>
  <c r="E169" i="6"/>
  <c r="D169" i="6"/>
  <c r="C169" i="6"/>
  <c r="B169" i="6"/>
  <c r="A169" i="6"/>
  <c r="J168" i="6"/>
  <c r="I168" i="6"/>
  <c r="H168" i="6"/>
  <c r="G168" i="6"/>
  <c r="F168" i="6"/>
  <c r="E168" i="6"/>
  <c r="D168" i="6"/>
  <c r="C168" i="6"/>
  <c r="B168" i="6"/>
  <c r="A168" i="6"/>
  <c r="J167" i="6"/>
  <c r="I167" i="6"/>
  <c r="H167" i="6"/>
  <c r="G167" i="6"/>
  <c r="F167" i="6"/>
  <c r="E167" i="6"/>
  <c r="D167" i="6"/>
  <c r="C167" i="6"/>
  <c r="B167" i="6"/>
  <c r="A167" i="6"/>
  <c r="J166" i="6"/>
  <c r="I166" i="6"/>
  <c r="H166" i="6"/>
  <c r="G166" i="6"/>
  <c r="F166" i="6"/>
  <c r="E166" i="6"/>
  <c r="D166" i="6"/>
  <c r="C166" i="6"/>
  <c r="B166" i="6"/>
  <c r="A166" i="6"/>
  <c r="J165" i="6"/>
  <c r="I165" i="6"/>
  <c r="H165" i="6"/>
  <c r="G165" i="6"/>
  <c r="F165" i="6"/>
  <c r="E165" i="6"/>
  <c r="D165" i="6"/>
  <c r="C165" i="6"/>
  <c r="B165" i="6"/>
  <c r="A165" i="6"/>
  <c r="J164" i="6"/>
  <c r="I164" i="6"/>
  <c r="H164" i="6"/>
  <c r="G164" i="6"/>
  <c r="F164" i="6"/>
  <c r="E164" i="6"/>
  <c r="D164" i="6"/>
  <c r="C164" i="6"/>
  <c r="B164" i="6"/>
  <c r="A164" i="6"/>
  <c r="J163" i="6"/>
  <c r="I163" i="6"/>
  <c r="H163" i="6"/>
  <c r="G163" i="6"/>
  <c r="F163" i="6"/>
  <c r="E163" i="6"/>
  <c r="D163" i="6"/>
  <c r="C163" i="6"/>
  <c r="B163" i="6"/>
  <c r="A163" i="6"/>
  <c r="J162" i="6"/>
  <c r="I162" i="6"/>
  <c r="H162" i="6"/>
  <c r="G162" i="6"/>
  <c r="F162" i="6"/>
  <c r="E162" i="6"/>
  <c r="D162" i="6"/>
  <c r="C162" i="6"/>
  <c r="B162" i="6"/>
  <c r="A162" i="6"/>
  <c r="J161" i="6"/>
  <c r="I161" i="6"/>
  <c r="H161" i="6"/>
  <c r="G161" i="6"/>
  <c r="F161" i="6"/>
  <c r="E161" i="6"/>
  <c r="D161" i="6"/>
  <c r="C161" i="6"/>
  <c r="B161" i="6"/>
  <c r="A161" i="6"/>
  <c r="J160" i="6"/>
  <c r="I160" i="6"/>
  <c r="H160" i="6"/>
  <c r="G160" i="6"/>
  <c r="F160" i="6"/>
  <c r="E160" i="6"/>
  <c r="D160" i="6"/>
  <c r="C160" i="6"/>
  <c r="B160" i="6"/>
  <c r="A160" i="6"/>
  <c r="J159" i="6"/>
  <c r="I159" i="6"/>
  <c r="H159" i="6"/>
  <c r="G159" i="6"/>
  <c r="F159" i="6"/>
  <c r="E159" i="6"/>
  <c r="D159" i="6"/>
  <c r="C159" i="6"/>
  <c r="B159" i="6"/>
  <c r="A159" i="6"/>
  <c r="J158" i="6"/>
  <c r="I158" i="6"/>
  <c r="H158" i="6"/>
  <c r="G158" i="6"/>
  <c r="F158" i="6"/>
  <c r="E158" i="6"/>
  <c r="D158" i="6"/>
  <c r="C158" i="6"/>
  <c r="B158" i="6"/>
  <c r="A158" i="6"/>
  <c r="J157" i="6"/>
  <c r="I157" i="6"/>
  <c r="H157" i="6"/>
  <c r="G157" i="6"/>
  <c r="F157" i="6"/>
  <c r="E157" i="6"/>
  <c r="D157" i="6"/>
  <c r="C157" i="6"/>
  <c r="B157" i="6"/>
  <c r="A157" i="6"/>
  <c r="J156" i="6"/>
  <c r="I156" i="6"/>
  <c r="H156" i="6"/>
  <c r="G156" i="6"/>
  <c r="F156" i="6"/>
  <c r="E156" i="6"/>
  <c r="D156" i="6"/>
  <c r="C156" i="6"/>
  <c r="B156" i="6"/>
  <c r="A156" i="6"/>
  <c r="J155" i="6"/>
  <c r="I155" i="6"/>
  <c r="H155" i="6"/>
  <c r="G155" i="6"/>
  <c r="F155" i="6"/>
  <c r="E155" i="6"/>
  <c r="D155" i="6"/>
  <c r="C155" i="6"/>
  <c r="B155" i="6"/>
  <c r="A155" i="6"/>
  <c r="J154" i="6"/>
  <c r="I154" i="6"/>
  <c r="H154" i="6"/>
  <c r="G154" i="6"/>
  <c r="F154" i="6"/>
  <c r="E154" i="6"/>
  <c r="D154" i="6"/>
  <c r="C154" i="6"/>
  <c r="B154" i="6"/>
  <c r="A154" i="6"/>
  <c r="J153" i="6"/>
  <c r="I153" i="6"/>
  <c r="H153" i="6"/>
  <c r="G153" i="6"/>
  <c r="F153" i="6"/>
  <c r="E153" i="6"/>
  <c r="D153" i="6"/>
  <c r="C153" i="6"/>
  <c r="B153" i="6"/>
  <c r="A153" i="6"/>
  <c r="J152" i="6"/>
  <c r="I152" i="6"/>
  <c r="H152" i="6"/>
  <c r="G152" i="6"/>
  <c r="F152" i="6"/>
  <c r="E152" i="6"/>
  <c r="D152" i="6"/>
  <c r="C152" i="6"/>
  <c r="B152" i="6"/>
  <c r="A152" i="6"/>
  <c r="J151" i="6"/>
  <c r="I151" i="6"/>
  <c r="H151" i="6"/>
  <c r="G151" i="6"/>
  <c r="F151" i="6"/>
  <c r="E151" i="6"/>
  <c r="D151" i="6"/>
  <c r="C151" i="6"/>
  <c r="B151" i="6"/>
  <c r="A151" i="6"/>
  <c r="J150" i="6"/>
  <c r="I150" i="6"/>
  <c r="H150" i="6"/>
  <c r="G150" i="6"/>
  <c r="F150" i="6"/>
  <c r="E150" i="6"/>
  <c r="D150" i="6"/>
  <c r="C150" i="6"/>
  <c r="B150" i="6"/>
  <c r="A150" i="6"/>
  <c r="J149" i="6"/>
  <c r="I149" i="6"/>
  <c r="H149" i="6"/>
  <c r="G149" i="6"/>
  <c r="F149" i="6"/>
  <c r="E149" i="6"/>
  <c r="D149" i="6"/>
  <c r="C149" i="6"/>
  <c r="B149" i="6"/>
  <c r="A149" i="6"/>
  <c r="J148" i="6"/>
  <c r="I148" i="6"/>
  <c r="H148" i="6"/>
  <c r="G148" i="6"/>
  <c r="F148" i="6"/>
  <c r="E148" i="6"/>
  <c r="D148" i="6"/>
  <c r="C148" i="6"/>
  <c r="B148" i="6"/>
  <c r="A148" i="6"/>
  <c r="J147" i="6"/>
  <c r="I147" i="6"/>
  <c r="H147" i="6"/>
  <c r="G147" i="6"/>
  <c r="F147" i="6"/>
  <c r="E147" i="6"/>
  <c r="D147" i="6"/>
  <c r="C147" i="6"/>
  <c r="B147" i="6"/>
  <c r="A147" i="6"/>
  <c r="J146" i="6"/>
  <c r="I146" i="6"/>
  <c r="H146" i="6"/>
  <c r="G146" i="6"/>
  <c r="F146" i="6"/>
  <c r="E146" i="6"/>
  <c r="D146" i="6"/>
  <c r="C146" i="6"/>
  <c r="B146" i="6"/>
  <c r="A146" i="6"/>
  <c r="J145" i="6"/>
  <c r="I145" i="6"/>
  <c r="H145" i="6"/>
  <c r="G145" i="6"/>
  <c r="F145" i="6"/>
  <c r="E145" i="6"/>
  <c r="D145" i="6"/>
  <c r="C145" i="6"/>
  <c r="B145" i="6"/>
  <c r="A145" i="6"/>
  <c r="J144" i="6"/>
  <c r="I144" i="6"/>
  <c r="H144" i="6"/>
  <c r="G144" i="6"/>
  <c r="F144" i="6"/>
  <c r="E144" i="6"/>
  <c r="D144" i="6"/>
  <c r="C144" i="6"/>
  <c r="B144" i="6"/>
  <c r="A144" i="6"/>
  <c r="J143" i="6"/>
  <c r="I143" i="6"/>
  <c r="H143" i="6"/>
  <c r="G143" i="6"/>
  <c r="F143" i="6"/>
  <c r="E143" i="6"/>
  <c r="D143" i="6"/>
  <c r="C143" i="6"/>
  <c r="B143" i="6"/>
  <c r="A143" i="6"/>
  <c r="J142" i="6"/>
  <c r="I142" i="6"/>
  <c r="H142" i="6"/>
  <c r="G142" i="6"/>
  <c r="F142" i="6"/>
  <c r="E142" i="6"/>
  <c r="D142" i="6"/>
  <c r="C142" i="6"/>
  <c r="B142" i="6"/>
  <c r="A142" i="6"/>
  <c r="J141" i="6"/>
  <c r="I141" i="6"/>
  <c r="H141" i="6"/>
  <c r="G141" i="6"/>
  <c r="F141" i="6"/>
  <c r="E141" i="6"/>
  <c r="D141" i="6"/>
  <c r="C141" i="6"/>
  <c r="B141" i="6"/>
  <c r="A141" i="6"/>
  <c r="J140" i="6"/>
  <c r="I140" i="6"/>
  <c r="H140" i="6"/>
  <c r="G140" i="6"/>
  <c r="F140" i="6"/>
  <c r="E140" i="6"/>
  <c r="D140" i="6"/>
  <c r="C140" i="6"/>
  <c r="B140" i="6"/>
  <c r="A140" i="6"/>
  <c r="J139" i="6"/>
  <c r="I139" i="6"/>
  <c r="H139" i="6"/>
  <c r="G139" i="6"/>
  <c r="F139" i="6"/>
  <c r="E139" i="6"/>
  <c r="D139" i="6"/>
  <c r="C139" i="6"/>
  <c r="B139" i="6"/>
  <c r="A139" i="6"/>
  <c r="J138" i="6"/>
  <c r="I138" i="6"/>
  <c r="H138" i="6"/>
  <c r="G138" i="6"/>
  <c r="F138" i="6"/>
  <c r="E138" i="6"/>
  <c r="D138" i="6"/>
  <c r="C138" i="6"/>
  <c r="B138" i="6"/>
  <c r="A138" i="6"/>
  <c r="J137" i="6"/>
  <c r="I137" i="6"/>
  <c r="H137" i="6"/>
  <c r="G137" i="6"/>
  <c r="F137" i="6"/>
  <c r="E137" i="6"/>
  <c r="D137" i="6"/>
  <c r="C137" i="6"/>
  <c r="B137" i="6"/>
  <c r="A137" i="6"/>
  <c r="J136" i="6"/>
  <c r="I136" i="6"/>
  <c r="H136" i="6"/>
  <c r="G136" i="6"/>
  <c r="F136" i="6"/>
  <c r="E136" i="6"/>
  <c r="D136" i="6"/>
  <c r="C136" i="6"/>
  <c r="B136" i="6"/>
  <c r="A136" i="6"/>
  <c r="J135" i="6"/>
  <c r="I135" i="6"/>
  <c r="H135" i="6"/>
  <c r="G135" i="6"/>
  <c r="F135" i="6"/>
  <c r="E135" i="6"/>
  <c r="D135" i="6"/>
  <c r="C135" i="6"/>
  <c r="B135" i="6"/>
  <c r="A135" i="6"/>
  <c r="J134" i="6"/>
  <c r="I134" i="6"/>
  <c r="H134" i="6"/>
  <c r="G134" i="6"/>
  <c r="F134" i="6"/>
  <c r="E134" i="6"/>
  <c r="D134" i="6"/>
  <c r="C134" i="6"/>
  <c r="B134" i="6"/>
  <c r="A134" i="6"/>
  <c r="J133" i="6"/>
  <c r="I133" i="6"/>
  <c r="H133" i="6"/>
  <c r="G133" i="6"/>
  <c r="F133" i="6"/>
  <c r="E133" i="6"/>
  <c r="D133" i="6"/>
  <c r="C133" i="6"/>
  <c r="B133" i="6"/>
  <c r="A133" i="6"/>
  <c r="J132" i="6"/>
  <c r="I132" i="6"/>
  <c r="H132" i="6"/>
  <c r="G132" i="6"/>
  <c r="F132" i="6"/>
  <c r="E132" i="6"/>
  <c r="D132" i="6"/>
  <c r="C132" i="6"/>
  <c r="B132" i="6"/>
  <c r="A132" i="6"/>
  <c r="J131" i="6"/>
  <c r="I131" i="6"/>
  <c r="H131" i="6"/>
  <c r="G131" i="6"/>
  <c r="F131" i="6"/>
  <c r="E131" i="6"/>
  <c r="D131" i="6"/>
  <c r="C131" i="6"/>
  <c r="B131" i="6"/>
  <c r="A131" i="6"/>
  <c r="J130" i="6"/>
  <c r="I130" i="6"/>
  <c r="H130" i="6"/>
  <c r="G130" i="6"/>
  <c r="F130" i="6"/>
  <c r="E130" i="6"/>
  <c r="D130" i="6"/>
  <c r="C130" i="6"/>
  <c r="B130" i="6"/>
  <c r="A130" i="6"/>
  <c r="J129" i="6"/>
  <c r="I129" i="6"/>
  <c r="H129" i="6"/>
  <c r="G129" i="6"/>
  <c r="F129" i="6"/>
  <c r="E129" i="6"/>
  <c r="D129" i="6"/>
  <c r="C129" i="6"/>
  <c r="B129" i="6"/>
  <c r="A129" i="6"/>
  <c r="J128" i="6"/>
  <c r="I128" i="6"/>
  <c r="H128" i="6"/>
  <c r="G128" i="6"/>
  <c r="F128" i="6"/>
  <c r="E128" i="6"/>
  <c r="D128" i="6"/>
  <c r="C128" i="6"/>
  <c r="B128" i="6"/>
  <c r="A128" i="6"/>
  <c r="J127" i="6"/>
  <c r="I127" i="6"/>
  <c r="H127" i="6"/>
  <c r="G127" i="6"/>
  <c r="F127" i="6"/>
  <c r="E127" i="6"/>
  <c r="D127" i="6"/>
  <c r="C127" i="6"/>
  <c r="B127" i="6"/>
  <c r="A127" i="6"/>
  <c r="J126" i="6"/>
  <c r="I126" i="6"/>
  <c r="H126" i="6"/>
  <c r="G126" i="6"/>
  <c r="F126" i="6"/>
  <c r="E126" i="6"/>
  <c r="D126" i="6"/>
  <c r="C126" i="6"/>
  <c r="B126" i="6"/>
  <c r="A126" i="6"/>
  <c r="J125" i="6"/>
  <c r="I125" i="6"/>
  <c r="H125" i="6"/>
  <c r="G125" i="6"/>
  <c r="F125" i="6"/>
  <c r="E125" i="6"/>
  <c r="D125" i="6"/>
  <c r="C125" i="6"/>
  <c r="B125" i="6"/>
  <c r="A125" i="6"/>
  <c r="J124" i="6"/>
  <c r="I124" i="6"/>
  <c r="H124" i="6"/>
  <c r="G124" i="6"/>
  <c r="F124" i="6"/>
  <c r="E124" i="6"/>
  <c r="D124" i="6"/>
  <c r="C124" i="6"/>
  <c r="B124" i="6"/>
  <c r="A124" i="6"/>
  <c r="J123" i="6"/>
  <c r="I123" i="6"/>
  <c r="H123" i="6"/>
  <c r="G123" i="6"/>
  <c r="F123" i="6"/>
  <c r="E123" i="6"/>
  <c r="D123" i="6"/>
  <c r="C123" i="6"/>
  <c r="B123" i="6"/>
  <c r="A123" i="6"/>
  <c r="J122" i="6"/>
  <c r="I122" i="6"/>
  <c r="H122" i="6"/>
  <c r="G122" i="6"/>
  <c r="F122" i="6"/>
  <c r="E122" i="6"/>
  <c r="D122" i="6"/>
  <c r="C122" i="6"/>
  <c r="B122" i="6"/>
  <c r="A122" i="6"/>
  <c r="J121" i="6"/>
  <c r="I121" i="6"/>
  <c r="H121" i="6"/>
  <c r="G121" i="6"/>
  <c r="F121" i="6"/>
  <c r="E121" i="6"/>
  <c r="D121" i="6"/>
  <c r="C121" i="6"/>
  <c r="B121" i="6"/>
  <c r="A121" i="6"/>
  <c r="J120" i="6"/>
  <c r="I120" i="6"/>
  <c r="H120" i="6"/>
  <c r="G120" i="6"/>
  <c r="F120" i="6"/>
  <c r="E120" i="6"/>
  <c r="D120" i="6"/>
  <c r="C120" i="6"/>
  <c r="B120" i="6"/>
  <c r="A120" i="6"/>
  <c r="J119" i="6"/>
  <c r="I119" i="6"/>
  <c r="H119" i="6"/>
  <c r="G119" i="6"/>
  <c r="F119" i="6"/>
  <c r="E119" i="6"/>
  <c r="D119" i="6"/>
  <c r="C119" i="6"/>
  <c r="B119" i="6"/>
  <c r="A119" i="6"/>
  <c r="J118" i="6"/>
  <c r="I118" i="6"/>
  <c r="H118" i="6"/>
  <c r="G118" i="6"/>
  <c r="F118" i="6"/>
  <c r="E118" i="6"/>
  <c r="D118" i="6"/>
  <c r="C118" i="6"/>
  <c r="B118" i="6"/>
  <c r="A118" i="6"/>
  <c r="J117" i="6"/>
  <c r="I117" i="6"/>
  <c r="H117" i="6"/>
  <c r="G117" i="6"/>
  <c r="F117" i="6"/>
  <c r="E117" i="6"/>
  <c r="D117" i="6"/>
  <c r="C117" i="6"/>
  <c r="B117" i="6"/>
  <c r="A117" i="6"/>
  <c r="J116" i="6"/>
  <c r="I116" i="6"/>
  <c r="H116" i="6"/>
  <c r="G116" i="6"/>
  <c r="F116" i="6"/>
  <c r="E116" i="6"/>
  <c r="D116" i="6"/>
  <c r="C116" i="6"/>
  <c r="B116" i="6"/>
  <c r="A116" i="6"/>
  <c r="J115" i="6"/>
  <c r="I115" i="6"/>
  <c r="H115" i="6"/>
  <c r="G115" i="6"/>
  <c r="F115" i="6"/>
  <c r="E115" i="6"/>
  <c r="D115" i="6"/>
  <c r="C115" i="6"/>
  <c r="B115" i="6"/>
  <c r="A115" i="6"/>
  <c r="J114" i="6"/>
  <c r="I114" i="6"/>
  <c r="H114" i="6"/>
  <c r="G114" i="6"/>
  <c r="F114" i="6"/>
  <c r="E114" i="6"/>
  <c r="D114" i="6"/>
  <c r="C114" i="6"/>
  <c r="B114" i="6"/>
  <c r="A114" i="6"/>
  <c r="J113" i="6"/>
  <c r="I113" i="6"/>
  <c r="H113" i="6"/>
  <c r="G113" i="6"/>
  <c r="F113" i="6"/>
  <c r="E113" i="6"/>
  <c r="D113" i="6"/>
  <c r="C113" i="6"/>
  <c r="B113" i="6"/>
  <c r="A113" i="6"/>
  <c r="J112" i="6"/>
  <c r="I112" i="6"/>
  <c r="H112" i="6"/>
  <c r="G112" i="6"/>
  <c r="F112" i="6"/>
  <c r="E112" i="6"/>
  <c r="D112" i="6"/>
  <c r="C112" i="6"/>
  <c r="B112" i="6"/>
  <c r="A112" i="6"/>
  <c r="J111" i="6"/>
  <c r="I111" i="6"/>
  <c r="H111" i="6"/>
  <c r="G111" i="6"/>
  <c r="F111" i="6"/>
  <c r="E111" i="6"/>
  <c r="D111" i="6"/>
  <c r="C111" i="6"/>
  <c r="B111" i="6"/>
  <c r="A111" i="6"/>
  <c r="J110" i="6"/>
  <c r="I110" i="6"/>
  <c r="H110" i="6"/>
  <c r="G110" i="6"/>
  <c r="F110" i="6"/>
  <c r="E110" i="6"/>
  <c r="D110" i="6"/>
  <c r="C110" i="6"/>
  <c r="B110" i="6"/>
  <c r="A110" i="6"/>
  <c r="J109" i="6"/>
  <c r="I109" i="6"/>
  <c r="H109" i="6"/>
  <c r="G109" i="6"/>
  <c r="F109" i="6"/>
  <c r="E109" i="6"/>
  <c r="D109" i="6"/>
  <c r="C109" i="6"/>
  <c r="B109" i="6"/>
  <c r="A109" i="6"/>
  <c r="J108" i="6"/>
  <c r="I108" i="6"/>
  <c r="H108" i="6"/>
  <c r="G108" i="6"/>
  <c r="F108" i="6"/>
  <c r="E108" i="6"/>
  <c r="D108" i="6"/>
  <c r="C108" i="6"/>
  <c r="B108" i="6"/>
  <c r="A108" i="6"/>
  <c r="J107" i="6"/>
  <c r="I107" i="6"/>
  <c r="H107" i="6"/>
  <c r="G107" i="6"/>
  <c r="F107" i="6"/>
  <c r="E107" i="6"/>
  <c r="D107" i="6"/>
  <c r="C107" i="6"/>
  <c r="B107" i="6"/>
  <c r="A107" i="6"/>
  <c r="J106" i="6"/>
  <c r="I106" i="6"/>
  <c r="H106" i="6"/>
  <c r="G106" i="6"/>
  <c r="F106" i="6"/>
  <c r="E106" i="6"/>
  <c r="D106" i="6"/>
  <c r="C106" i="6"/>
  <c r="B106" i="6"/>
  <c r="A106" i="6"/>
  <c r="J105" i="6"/>
  <c r="I105" i="6"/>
  <c r="H105" i="6"/>
  <c r="G105" i="6"/>
  <c r="F105" i="6"/>
  <c r="E105" i="6"/>
  <c r="D105" i="6"/>
  <c r="C105" i="6"/>
  <c r="B105" i="6"/>
  <c r="A105" i="6"/>
  <c r="J104" i="6"/>
  <c r="I104" i="6"/>
  <c r="H104" i="6"/>
  <c r="G104" i="6"/>
  <c r="F104" i="6"/>
  <c r="E104" i="6"/>
  <c r="D104" i="6"/>
  <c r="C104" i="6"/>
  <c r="B104" i="6"/>
  <c r="A104" i="6"/>
  <c r="J103" i="6"/>
  <c r="I103" i="6"/>
  <c r="H103" i="6"/>
  <c r="G103" i="6"/>
  <c r="F103" i="6"/>
  <c r="E103" i="6"/>
  <c r="D103" i="6"/>
  <c r="C103" i="6"/>
  <c r="B103" i="6"/>
  <c r="A103" i="6"/>
  <c r="J102" i="6"/>
  <c r="I102" i="6"/>
  <c r="H102" i="6"/>
  <c r="G102" i="6"/>
  <c r="F102" i="6"/>
  <c r="E102" i="6"/>
  <c r="D102" i="6"/>
  <c r="C102" i="6"/>
  <c r="B102" i="6"/>
  <c r="A102" i="6"/>
  <c r="J101" i="6"/>
  <c r="I101" i="6"/>
  <c r="H101" i="6"/>
  <c r="G101" i="6"/>
  <c r="F101" i="6"/>
  <c r="E101" i="6"/>
  <c r="D101" i="6"/>
  <c r="C101" i="6"/>
  <c r="B101" i="6"/>
  <c r="A101" i="6"/>
  <c r="J100" i="6"/>
  <c r="I100" i="6"/>
  <c r="H100" i="6"/>
  <c r="G100" i="6"/>
  <c r="F100" i="6"/>
  <c r="E100" i="6"/>
  <c r="D100" i="6"/>
  <c r="C100" i="6"/>
  <c r="B100" i="6"/>
  <c r="A100" i="6"/>
  <c r="J99" i="6"/>
  <c r="I99" i="6"/>
  <c r="H99" i="6"/>
  <c r="G99" i="6"/>
  <c r="F99" i="6"/>
  <c r="E99" i="6"/>
  <c r="D99" i="6"/>
  <c r="C99" i="6"/>
  <c r="B99" i="6"/>
  <c r="A99" i="6"/>
  <c r="J98" i="6"/>
  <c r="I98" i="6"/>
  <c r="H98" i="6"/>
  <c r="G98" i="6"/>
  <c r="F98" i="6"/>
  <c r="E98" i="6"/>
  <c r="D98" i="6"/>
  <c r="C98" i="6"/>
  <c r="B98" i="6"/>
  <c r="A98" i="6"/>
  <c r="J97" i="6"/>
  <c r="I97" i="6"/>
  <c r="H97" i="6"/>
  <c r="G97" i="6"/>
  <c r="F97" i="6"/>
  <c r="E97" i="6"/>
  <c r="D97" i="6"/>
  <c r="C97" i="6"/>
  <c r="B97" i="6"/>
  <c r="A97" i="6"/>
  <c r="J96" i="6"/>
  <c r="I96" i="6"/>
  <c r="H96" i="6"/>
  <c r="G96" i="6"/>
  <c r="F96" i="6"/>
  <c r="E96" i="6"/>
  <c r="D96" i="6"/>
  <c r="C96" i="6"/>
  <c r="B96" i="6"/>
  <c r="A96" i="6"/>
  <c r="J95" i="6"/>
  <c r="I95" i="6"/>
  <c r="H95" i="6"/>
  <c r="G95" i="6"/>
  <c r="F95" i="6"/>
  <c r="E95" i="6"/>
  <c r="D95" i="6"/>
  <c r="C95" i="6"/>
  <c r="B95" i="6"/>
  <c r="A95" i="6"/>
  <c r="J94" i="6"/>
  <c r="I94" i="6"/>
  <c r="H94" i="6"/>
  <c r="G94" i="6"/>
  <c r="F94" i="6"/>
  <c r="E94" i="6"/>
  <c r="D94" i="6"/>
  <c r="C94" i="6"/>
  <c r="B94" i="6"/>
  <c r="A94" i="6"/>
  <c r="J93" i="6"/>
  <c r="I93" i="6"/>
  <c r="H93" i="6"/>
  <c r="G93" i="6"/>
  <c r="F93" i="6"/>
  <c r="E93" i="6"/>
  <c r="D93" i="6"/>
  <c r="C93" i="6"/>
  <c r="B93" i="6"/>
  <c r="A93" i="6"/>
  <c r="J92" i="6"/>
  <c r="I92" i="6"/>
  <c r="H92" i="6"/>
  <c r="G92" i="6"/>
  <c r="F92" i="6"/>
  <c r="E92" i="6"/>
  <c r="D92" i="6"/>
  <c r="C92" i="6"/>
  <c r="B92" i="6"/>
  <c r="A92" i="6"/>
  <c r="J91" i="6"/>
  <c r="I91" i="6"/>
  <c r="H91" i="6"/>
  <c r="G91" i="6"/>
  <c r="F91" i="6"/>
  <c r="E91" i="6"/>
  <c r="D91" i="6"/>
  <c r="C91" i="6"/>
  <c r="B91" i="6"/>
  <c r="A91" i="6"/>
  <c r="J90" i="6"/>
  <c r="I90" i="6"/>
  <c r="H90" i="6"/>
  <c r="G90" i="6"/>
  <c r="F90" i="6"/>
  <c r="E90" i="6"/>
  <c r="D90" i="6"/>
  <c r="C90" i="6"/>
  <c r="B90" i="6"/>
  <c r="A90" i="6"/>
  <c r="J89" i="6"/>
  <c r="I89" i="6"/>
  <c r="H89" i="6"/>
  <c r="G89" i="6"/>
  <c r="F89" i="6"/>
  <c r="E89" i="6"/>
  <c r="D89" i="6"/>
  <c r="C89" i="6"/>
  <c r="B89" i="6"/>
  <c r="A89" i="6"/>
  <c r="J88" i="6"/>
  <c r="I88" i="6"/>
  <c r="H88" i="6"/>
  <c r="G88" i="6"/>
  <c r="F88" i="6"/>
  <c r="E88" i="6"/>
  <c r="D88" i="6"/>
  <c r="C88" i="6"/>
  <c r="B88" i="6"/>
  <c r="A88" i="6"/>
  <c r="J87" i="6"/>
  <c r="I87" i="6"/>
  <c r="H87" i="6"/>
  <c r="G87" i="6"/>
  <c r="F87" i="6"/>
  <c r="E87" i="6"/>
  <c r="D87" i="6"/>
  <c r="C87" i="6"/>
  <c r="B87" i="6"/>
  <c r="A87" i="6"/>
  <c r="J86" i="6"/>
  <c r="I86" i="6"/>
  <c r="H86" i="6"/>
  <c r="G86" i="6"/>
  <c r="F86" i="6"/>
  <c r="E86" i="6"/>
  <c r="D86" i="6"/>
  <c r="C86" i="6"/>
  <c r="B86" i="6"/>
  <c r="A86" i="6"/>
  <c r="J85" i="6"/>
  <c r="I85" i="6"/>
  <c r="H85" i="6"/>
  <c r="G85" i="6"/>
  <c r="F85" i="6"/>
  <c r="E85" i="6"/>
  <c r="D85" i="6"/>
  <c r="C85" i="6"/>
  <c r="B85" i="6"/>
  <c r="A85" i="6"/>
  <c r="J84" i="6"/>
  <c r="I84" i="6"/>
  <c r="H84" i="6"/>
  <c r="G84" i="6"/>
  <c r="F84" i="6"/>
  <c r="E84" i="6"/>
  <c r="D84" i="6"/>
  <c r="C84" i="6"/>
  <c r="B84" i="6"/>
  <c r="A84" i="6"/>
  <c r="J83" i="6"/>
  <c r="I83" i="6"/>
  <c r="H83" i="6"/>
  <c r="G83" i="6"/>
  <c r="F83" i="6"/>
  <c r="E83" i="6"/>
  <c r="D83" i="6"/>
  <c r="C83" i="6"/>
  <c r="B83" i="6"/>
  <c r="A83" i="6"/>
  <c r="J82" i="6"/>
  <c r="I82" i="6"/>
  <c r="H82" i="6"/>
  <c r="G82" i="6"/>
  <c r="F82" i="6"/>
  <c r="E82" i="6"/>
  <c r="D82" i="6"/>
  <c r="C82" i="6"/>
  <c r="B82" i="6"/>
  <c r="A82" i="6"/>
  <c r="J81" i="6"/>
  <c r="I81" i="6"/>
  <c r="H81" i="6"/>
  <c r="G81" i="6"/>
  <c r="F81" i="6"/>
  <c r="E81" i="6"/>
  <c r="D81" i="6"/>
  <c r="C81" i="6"/>
  <c r="B81" i="6"/>
  <c r="A81" i="6"/>
  <c r="J80" i="6"/>
  <c r="I80" i="6"/>
  <c r="H80" i="6"/>
  <c r="G80" i="6"/>
  <c r="F80" i="6"/>
  <c r="E80" i="6"/>
  <c r="D80" i="6"/>
  <c r="C80" i="6"/>
  <c r="B80" i="6"/>
  <c r="A80" i="6"/>
  <c r="J79" i="6"/>
  <c r="I79" i="6"/>
  <c r="H79" i="6"/>
  <c r="G79" i="6"/>
  <c r="F79" i="6"/>
  <c r="E79" i="6"/>
  <c r="D79" i="6"/>
  <c r="C79" i="6"/>
  <c r="B79" i="6"/>
  <c r="A79" i="6"/>
  <c r="J78" i="6"/>
  <c r="I78" i="6"/>
  <c r="H78" i="6"/>
  <c r="G78" i="6"/>
  <c r="F78" i="6"/>
  <c r="E78" i="6"/>
  <c r="D78" i="6"/>
  <c r="C78" i="6"/>
  <c r="B78" i="6"/>
  <c r="A78" i="6"/>
  <c r="J77" i="6"/>
  <c r="I77" i="6"/>
  <c r="H77" i="6"/>
  <c r="G77" i="6"/>
  <c r="F77" i="6"/>
  <c r="E77" i="6"/>
  <c r="D77" i="6"/>
  <c r="C77" i="6"/>
  <c r="B77" i="6"/>
  <c r="A77" i="6"/>
  <c r="J76" i="6"/>
  <c r="I76" i="6"/>
  <c r="H76" i="6"/>
  <c r="G76" i="6"/>
  <c r="F76" i="6"/>
  <c r="E76" i="6"/>
  <c r="D76" i="6"/>
  <c r="C76" i="6"/>
  <c r="B76" i="6"/>
  <c r="A76" i="6"/>
  <c r="J75" i="6"/>
  <c r="I75" i="6"/>
  <c r="H75" i="6"/>
  <c r="G75" i="6"/>
  <c r="F75" i="6"/>
  <c r="E75" i="6"/>
  <c r="D75" i="6"/>
  <c r="C75" i="6"/>
  <c r="B75" i="6"/>
  <c r="A75" i="6"/>
  <c r="J74" i="6"/>
  <c r="I74" i="6"/>
  <c r="H74" i="6"/>
  <c r="G74" i="6"/>
  <c r="F74" i="6"/>
  <c r="E74" i="6"/>
  <c r="D74" i="6"/>
  <c r="C74" i="6"/>
  <c r="B74" i="6"/>
  <c r="A74" i="6"/>
  <c r="J73" i="6"/>
  <c r="I73" i="6"/>
  <c r="H73" i="6"/>
  <c r="G73" i="6"/>
  <c r="F73" i="6"/>
  <c r="E73" i="6"/>
  <c r="D73" i="6"/>
  <c r="C73" i="6"/>
  <c r="B73" i="6"/>
  <c r="A73" i="6"/>
  <c r="J72" i="6"/>
  <c r="I72" i="6"/>
  <c r="H72" i="6"/>
  <c r="G72" i="6"/>
  <c r="F72" i="6"/>
  <c r="E72" i="6"/>
  <c r="D72" i="6"/>
  <c r="C72" i="6"/>
  <c r="B72" i="6"/>
  <c r="A72" i="6"/>
  <c r="J71" i="6"/>
  <c r="I71" i="6"/>
  <c r="H71" i="6"/>
  <c r="G71" i="6"/>
  <c r="F71" i="6"/>
  <c r="E71" i="6"/>
  <c r="D71" i="6"/>
  <c r="C71" i="6"/>
  <c r="B71" i="6"/>
  <c r="A71" i="6"/>
  <c r="J70" i="6"/>
  <c r="I70" i="6"/>
  <c r="H70" i="6"/>
  <c r="G70" i="6"/>
  <c r="F70" i="6"/>
  <c r="E70" i="6"/>
  <c r="D70" i="6"/>
  <c r="C70" i="6"/>
  <c r="B70" i="6"/>
  <c r="A70" i="6"/>
  <c r="J69" i="6"/>
  <c r="I69" i="6"/>
  <c r="H69" i="6"/>
  <c r="G69" i="6"/>
  <c r="F69" i="6"/>
  <c r="E69" i="6"/>
  <c r="D69" i="6"/>
  <c r="C69" i="6"/>
  <c r="B69" i="6"/>
  <c r="A69" i="6"/>
  <c r="J68" i="6"/>
  <c r="I68" i="6"/>
  <c r="H68" i="6"/>
  <c r="G68" i="6"/>
  <c r="F68" i="6"/>
  <c r="E68" i="6"/>
  <c r="D68" i="6"/>
  <c r="C68" i="6"/>
  <c r="B68" i="6"/>
  <c r="A68" i="6"/>
  <c r="J67" i="6"/>
  <c r="I67" i="6"/>
  <c r="H67" i="6"/>
  <c r="G67" i="6"/>
  <c r="F67" i="6"/>
  <c r="E67" i="6"/>
  <c r="D67" i="6"/>
  <c r="C67" i="6"/>
  <c r="B67" i="6"/>
  <c r="A67" i="6"/>
  <c r="J66" i="6"/>
  <c r="I66" i="6"/>
  <c r="H66" i="6"/>
  <c r="G66" i="6"/>
  <c r="F66" i="6"/>
  <c r="E66" i="6"/>
  <c r="D66" i="6"/>
  <c r="C66" i="6"/>
  <c r="B66" i="6"/>
  <c r="A66" i="6"/>
  <c r="J65" i="6"/>
  <c r="I65" i="6"/>
  <c r="H65" i="6"/>
  <c r="G65" i="6"/>
  <c r="F65" i="6"/>
  <c r="E65" i="6"/>
  <c r="D65" i="6"/>
  <c r="C65" i="6"/>
  <c r="B65" i="6"/>
  <c r="A65" i="6"/>
  <c r="J64" i="6"/>
  <c r="I64" i="6"/>
  <c r="H64" i="6"/>
  <c r="G64" i="6"/>
  <c r="F64" i="6"/>
  <c r="E64" i="6"/>
  <c r="D64" i="6"/>
  <c r="C64" i="6"/>
  <c r="B64" i="6"/>
  <c r="A64" i="6"/>
  <c r="J63" i="6"/>
  <c r="I63" i="6"/>
  <c r="H63" i="6"/>
  <c r="G63" i="6"/>
  <c r="F63" i="6"/>
  <c r="E63" i="6"/>
  <c r="D63" i="6"/>
  <c r="C63" i="6"/>
  <c r="B63" i="6"/>
  <c r="A63" i="6"/>
  <c r="J62" i="6"/>
  <c r="I62" i="6"/>
  <c r="H62" i="6"/>
  <c r="G62" i="6"/>
  <c r="F62" i="6"/>
  <c r="E62" i="6"/>
  <c r="D62" i="6"/>
  <c r="C62" i="6"/>
  <c r="B62" i="6"/>
  <c r="A62" i="6"/>
  <c r="J61" i="6"/>
  <c r="I61" i="6"/>
  <c r="H61" i="6"/>
  <c r="G61" i="6"/>
  <c r="F61" i="6"/>
  <c r="E61" i="6"/>
  <c r="D61" i="6"/>
  <c r="C61" i="6"/>
  <c r="B61" i="6"/>
  <c r="A61" i="6"/>
  <c r="J60" i="6"/>
  <c r="I60" i="6"/>
  <c r="H60" i="6"/>
  <c r="G60" i="6"/>
  <c r="F60" i="6"/>
  <c r="E60" i="6"/>
  <c r="D60" i="6"/>
  <c r="C60" i="6"/>
  <c r="B60" i="6"/>
  <c r="A60" i="6"/>
  <c r="J59" i="6"/>
  <c r="I59" i="6"/>
  <c r="H59" i="6"/>
  <c r="G59" i="6"/>
  <c r="F59" i="6"/>
  <c r="E59" i="6"/>
  <c r="D59" i="6"/>
  <c r="C59" i="6"/>
  <c r="B59" i="6"/>
  <c r="A59" i="6"/>
  <c r="J58" i="6"/>
  <c r="I58" i="6"/>
  <c r="H58" i="6"/>
  <c r="G58" i="6"/>
  <c r="F58" i="6"/>
  <c r="E58" i="6"/>
  <c r="D58" i="6"/>
  <c r="C58" i="6"/>
  <c r="B58" i="6"/>
  <c r="A58" i="6"/>
  <c r="J57" i="6"/>
  <c r="I57" i="6"/>
  <c r="H57" i="6"/>
  <c r="G57" i="6"/>
  <c r="F57" i="6"/>
  <c r="E57" i="6"/>
  <c r="D57" i="6"/>
  <c r="C57" i="6"/>
  <c r="B57" i="6"/>
  <c r="A57" i="6"/>
  <c r="J56" i="6"/>
  <c r="I56" i="6"/>
  <c r="H56" i="6"/>
  <c r="G56" i="6"/>
  <c r="F56" i="6"/>
  <c r="E56" i="6"/>
  <c r="D56" i="6"/>
  <c r="C56" i="6"/>
  <c r="B56" i="6"/>
  <c r="A56" i="6"/>
  <c r="J55" i="6"/>
  <c r="I55" i="6"/>
  <c r="H55" i="6"/>
  <c r="G55" i="6"/>
  <c r="F55" i="6"/>
  <c r="E55" i="6"/>
  <c r="D55" i="6"/>
  <c r="C55" i="6"/>
  <c r="B55" i="6"/>
  <c r="A55" i="6"/>
  <c r="J54" i="6"/>
  <c r="I54" i="6"/>
  <c r="H54" i="6"/>
  <c r="G54" i="6"/>
  <c r="F54" i="6"/>
  <c r="E54" i="6"/>
  <c r="D54" i="6"/>
  <c r="C54" i="6"/>
  <c r="B54" i="6"/>
  <c r="A54" i="6"/>
  <c r="J53" i="6"/>
  <c r="I53" i="6"/>
  <c r="H53" i="6"/>
  <c r="G53" i="6"/>
  <c r="F53" i="6"/>
  <c r="E53" i="6"/>
  <c r="D53" i="6"/>
  <c r="C53" i="6"/>
  <c r="B53" i="6"/>
  <c r="A53" i="6"/>
  <c r="J52" i="6"/>
  <c r="I52" i="6"/>
  <c r="H52" i="6"/>
  <c r="G52" i="6"/>
  <c r="F52" i="6"/>
  <c r="E52" i="6"/>
  <c r="D52" i="6"/>
  <c r="C52" i="6"/>
  <c r="B52" i="6"/>
  <c r="A52" i="6"/>
  <c r="J51" i="6"/>
  <c r="I51" i="6"/>
  <c r="H51" i="6"/>
  <c r="G51" i="6"/>
  <c r="F51" i="6"/>
  <c r="E51" i="6"/>
  <c r="D51" i="6"/>
  <c r="C51" i="6"/>
  <c r="B51" i="6"/>
  <c r="A51" i="6"/>
  <c r="J50" i="6"/>
  <c r="I50" i="6"/>
  <c r="H50" i="6"/>
  <c r="G50" i="6"/>
  <c r="F50" i="6"/>
  <c r="E50" i="6"/>
  <c r="D50" i="6"/>
  <c r="C50" i="6"/>
  <c r="B50" i="6"/>
  <c r="A50" i="6"/>
  <c r="J49" i="6"/>
  <c r="I49" i="6"/>
  <c r="H49" i="6"/>
  <c r="G49" i="6"/>
  <c r="F49" i="6"/>
  <c r="E49" i="6"/>
  <c r="D49" i="6"/>
  <c r="C49" i="6"/>
  <c r="B49" i="6"/>
  <c r="A49" i="6"/>
  <c r="J48" i="6"/>
  <c r="I48" i="6"/>
  <c r="H48" i="6"/>
  <c r="G48" i="6"/>
  <c r="F48" i="6"/>
  <c r="E48" i="6"/>
  <c r="D48" i="6"/>
  <c r="C48" i="6"/>
  <c r="B48" i="6"/>
  <c r="A48" i="6"/>
  <c r="J47" i="6"/>
  <c r="I47" i="6"/>
  <c r="H47" i="6"/>
  <c r="G47" i="6"/>
  <c r="F47" i="6"/>
  <c r="E47" i="6"/>
  <c r="D47" i="6"/>
  <c r="C47" i="6"/>
  <c r="B47" i="6"/>
  <c r="A47" i="6"/>
  <c r="J46" i="6"/>
  <c r="I46" i="6"/>
  <c r="H46" i="6"/>
  <c r="G46" i="6"/>
  <c r="F46" i="6"/>
  <c r="E46" i="6"/>
  <c r="D46" i="6"/>
  <c r="C46" i="6"/>
  <c r="B46" i="6"/>
  <c r="A46" i="6"/>
  <c r="J45" i="6"/>
  <c r="I45" i="6"/>
  <c r="H45" i="6"/>
  <c r="G45" i="6"/>
  <c r="F45" i="6"/>
  <c r="E45" i="6"/>
  <c r="D45" i="6"/>
  <c r="C45" i="6"/>
  <c r="B45" i="6"/>
  <c r="A45" i="6"/>
  <c r="J44" i="6"/>
  <c r="I44" i="6"/>
  <c r="H44" i="6"/>
  <c r="G44" i="6"/>
  <c r="F44" i="6"/>
  <c r="E44" i="6"/>
  <c r="D44" i="6"/>
  <c r="C44" i="6"/>
  <c r="B44" i="6"/>
  <c r="A44" i="6"/>
  <c r="J43" i="6"/>
  <c r="I43" i="6"/>
  <c r="H43" i="6"/>
  <c r="G43" i="6"/>
  <c r="F43" i="6"/>
  <c r="E43" i="6"/>
  <c r="D43" i="6"/>
  <c r="C43" i="6"/>
  <c r="B43" i="6"/>
  <c r="A43" i="6"/>
  <c r="J42" i="6"/>
  <c r="I42" i="6"/>
  <c r="H42" i="6"/>
  <c r="G42" i="6"/>
  <c r="F42" i="6"/>
  <c r="E42" i="6"/>
  <c r="D42" i="6"/>
  <c r="C42" i="6"/>
  <c r="B42" i="6"/>
  <c r="A42" i="6"/>
  <c r="J41" i="6"/>
  <c r="I41" i="6"/>
  <c r="H41" i="6"/>
  <c r="G41" i="6"/>
  <c r="F41" i="6"/>
  <c r="E41" i="6"/>
  <c r="D41" i="6"/>
  <c r="C41" i="6"/>
  <c r="B41" i="6"/>
  <c r="A41" i="6"/>
  <c r="J40" i="6"/>
  <c r="I40" i="6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J38" i="6"/>
  <c r="I38" i="6"/>
  <c r="H38" i="6"/>
  <c r="G38" i="6"/>
  <c r="F38" i="6"/>
  <c r="E38" i="6"/>
  <c r="D38" i="6"/>
  <c r="C38" i="6"/>
  <c r="B38" i="6"/>
  <c r="A38" i="6"/>
  <c r="J37" i="6"/>
  <c r="I37" i="6"/>
  <c r="H37" i="6"/>
  <c r="G37" i="6"/>
  <c r="F37" i="6"/>
  <c r="E37" i="6"/>
  <c r="D37" i="6"/>
  <c r="C37" i="6"/>
  <c r="B37" i="6"/>
  <c r="A37" i="6"/>
  <c r="J36" i="6"/>
  <c r="I36" i="6"/>
  <c r="H36" i="6"/>
  <c r="G36" i="6"/>
  <c r="F36" i="6"/>
  <c r="E36" i="6"/>
  <c r="D36" i="6"/>
  <c r="C36" i="6"/>
  <c r="B36" i="6"/>
  <c r="A36" i="6"/>
  <c r="J35" i="6"/>
  <c r="I35" i="6"/>
  <c r="H35" i="6"/>
  <c r="G35" i="6"/>
  <c r="F35" i="6"/>
  <c r="E35" i="6"/>
  <c r="D35" i="6"/>
  <c r="C35" i="6"/>
  <c r="B35" i="6"/>
  <c r="A35" i="6"/>
  <c r="J34" i="6"/>
  <c r="I34" i="6"/>
  <c r="H34" i="6"/>
  <c r="G34" i="6"/>
  <c r="F34" i="6"/>
  <c r="E34" i="6"/>
  <c r="D34" i="6"/>
  <c r="C34" i="6"/>
  <c r="B34" i="6"/>
  <c r="A34" i="6"/>
  <c r="J33" i="6"/>
  <c r="I33" i="6"/>
  <c r="H33" i="6"/>
  <c r="G33" i="6"/>
  <c r="F33" i="6"/>
  <c r="E33" i="6"/>
  <c r="D33" i="6"/>
  <c r="C33" i="6"/>
  <c r="B33" i="6"/>
  <c r="A33" i="6"/>
  <c r="J32" i="6"/>
  <c r="I32" i="6"/>
  <c r="H32" i="6"/>
  <c r="G32" i="6"/>
  <c r="F32" i="6"/>
  <c r="E32" i="6"/>
  <c r="D32" i="6"/>
  <c r="C32" i="6"/>
  <c r="B32" i="6"/>
  <c r="A32" i="6"/>
  <c r="J31" i="6"/>
  <c r="I31" i="6"/>
  <c r="H31" i="6"/>
  <c r="G31" i="6"/>
  <c r="F31" i="6"/>
  <c r="E31" i="6"/>
  <c r="D31" i="6"/>
  <c r="C31" i="6"/>
  <c r="B31" i="6"/>
  <c r="A31" i="6"/>
  <c r="J30" i="6"/>
  <c r="I30" i="6"/>
  <c r="H30" i="6"/>
  <c r="G30" i="6"/>
  <c r="F30" i="6"/>
  <c r="E30" i="6"/>
  <c r="D30" i="6"/>
  <c r="C30" i="6"/>
  <c r="B30" i="6"/>
  <c r="A30" i="6"/>
  <c r="J29" i="6"/>
  <c r="I29" i="6"/>
  <c r="H29" i="6"/>
  <c r="G29" i="6"/>
  <c r="F29" i="6"/>
  <c r="E29" i="6"/>
  <c r="D29" i="6"/>
  <c r="C29" i="6"/>
  <c r="B29" i="6"/>
  <c r="A29" i="6"/>
  <c r="J28" i="6"/>
  <c r="I28" i="6"/>
  <c r="H28" i="6"/>
  <c r="G28" i="6"/>
  <c r="F28" i="6"/>
  <c r="E28" i="6"/>
  <c r="D28" i="6"/>
  <c r="C28" i="6"/>
  <c r="B28" i="6"/>
  <c r="A28" i="6"/>
  <c r="J27" i="6"/>
  <c r="I27" i="6"/>
  <c r="H27" i="6"/>
  <c r="G27" i="6"/>
  <c r="F27" i="6"/>
  <c r="E27" i="6"/>
  <c r="D27" i="6"/>
  <c r="C27" i="6"/>
  <c r="B27" i="6"/>
  <c r="A27" i="6"/>
  <c r="J26" i="6"/>
  <c r="I26" i="6"/>
  <c r="H26" i="6"/>
  <c r="G26" i="6"/>
  <c r="F26" i="6"/>
  <c r="E26" i="6"/>
  <c r="D26" i="6"/>
  <c r="C26" i="6"/>
  <c r="B26" i="6"/>
  <c r="A26" i="6"/>
  <c r="J25" i="6"/>
  <c r="I25" i="6"/>
  <c r="H25" i="6"/>
  <c r="G25" i="6"/>
  <c r="F25" i="6"/>
  <c r="E25" i="6"/>
  <c r="D25" i="6"/>
  <c r="C25" i="6"/>
  <c r="B25" i="6"/>
  <c r="A25" i="6"/>
  <c r="J24" i="6"/>
  <c r="I24" i="6"/>
  <c r="H24" i="6"/>
  <c r="G24" i="6"/>
  <c r="F24" i="6"/>
  <c r="E24" i="6"/>
  <c r="D24" i="6"/>
  <c r="C24" i="6"/>
  <c r="B24" i="6"/>
  <c r="A24" i="6"/>
  <c r="J23" i="6"/>
  <c r="I23" i="6"/>
  <c r="H23" i="6"/>
  <c r="G23" i="6"/>
  <c r="F23" i="6"/>
  <c r="E23" i="6"/>
  <c r="D23" i="6"/>
  <c r="C23" i="6"/>
  <c r="B23" i="6"/>
  <c r="A23" i="6"/>
  <c r="J22" i="6"/>
  <c r="I22" i="6"/>
  <c r="H22" i="6"/>
  <c r="G22" i="6"/>
  <c r="F22" i="6"/>
  <c r="E22" i="6"/>
  <c r="D22" i="6"/>
  <c r="C22" i="6"/>
  <c r="B22" i="6"/>
  <c r="A22" i="6"/>
  <c r="J21" i="6"/>
  <c r="I21" i="6"/>
  <c r="H21" i="6"/>
  <c r="G21" i="6"/>
  <c r="F21" i="6"/>
  <c r="E21" i="6"/>
  <c r="D21" i="6"/>
  <c r="C21" i="6"/>
  <c r="B21" i="6"/>
  <c r="A21" i="6"/>
  <c r="J20" i="6"/>
  <c r="I20" i="6"/>
  <c r="H20" i="6"/>
  <c r="G20" i="6"/>
  <c r="F20" i="6"/>
  <c r="E20" i="6"/>
  <c r="D20" i="6"/>
  <c r="C20" i="6"/>
  <c r="B20" i="6"/>
  <c r="A20" i="6"/>
  <c r="J19" i="6"/>
  <c r="I19" i="6"/>
  <c r="H19" i="6"/>
  <c r="G19" i="6"/>
  <c r="F19" i="6"/>
  <c r="E19" i="6"/>
  <c r="D19" i="6"/>
  <c r="C19" i="6"/>
  <c r="B19" i="6"/>
  <c r="A19" i="6"/>
  <c r="J18" i="6"/>
  <c r="I18" i="6"/>
  <c r="H18" i="6"/>
  <c r="G18" i="6"/>
  <c r="F18" i="6"/>
  <c r="E18" i="6"/>
  <c r="D18" i="6"/>
  <c r="C18" i="6"/>
  <c r="B18" i="6"/>
  <c r="A18" i="6"/>
  <c r="J17" i="6"/>
  <c r="I17" i="6"/>
  <c r="H17" i="6"/>
  <c r="G17" i="6"/>
  <c r="F17" i="6"/>
  <c r="E17" i="6"/>
  <c r="D17" i="6"/>
  <c r="C17" i="6"/>
  <c r="B17" i="6"/>
  <c r="A17" i="6"/>
  <c r="J16" i="6"/>
  <c r="I16" i="6"/>
  <c r="H16" i="6"/>
  <c r="G16" i="6"/>
  <c r="F16" i="6"/>
  <c r="E16" i="6"/>
  <c r="D16" i="6"/>
  <c r="C16" i="6"/>
  <c r="B16" i="6"/>
  <c r="A16" i="6"/>
  <c r="J15" i="6"/>
  <c r="I15" i="6"/>
  <c r="H15" i="6"/>
  <c r="G15" i="6"/>
  <c r="F15" i="6"/>
  <c r="E15" i="6"/>
  <c r="D15" i="6"/>
  <c r="C15" i="6"/>
  <c r="B15" i="6"/>
  <c r="A15" i="6"/>
  <c r="J14" i="6"/>
  <c r="I14" i="6"/>
  <c r="H14" i="6"/>
  <c r="G14" i="6"/>
  <c r="F14" i="6"/>
  <c r="E14" i="6"/>
  <c r="D14" i="6"/>
  <c r="C14" i="6"/>
  <c r="B14" i="6"/>
  <c r="A14" i="6"/>
  <c r="J13" i="6"/>
  <c r="I13" i="6"/>
  <c r="H13" i="6"/>
  <c r="G13" i="6"/>
  <c r="F13" i="6"/>
  <c r="E13" i="6"/>
  <c r="D13" i="6"/>
  <c r="C13" i="6"/>
  <c r="B13" i="6"/>
  <c r="A13" i="6"/>
  <c r="J12" i="6"/>
  <c r="I12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A2" i="6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G5" i="4"/>
  <c r="F5" i="4"/>
  <c r="F4" i="4"/>
  <c r="N203" i="3"/>
  <c r="M203" i="3"/>
  <c r="L203" i="3"/>
  <c r="H203" i="3"/>
  <c r="N202" i="3"/>
  <c r="M202" i="3"/>
  <c r="L202" i="3"/>
  <c r="H202" i="3"/>
  <c r="N201" i="3"/>
  <c r="M201" i="3"/>
  <c r="L201" i="3"/>
  <c r="H201" i="3"/>
  <c r="N200" i="3"/>
  <c r="M200" i="3"/>
  <c r="L200" i="3"/>
  <c r="H200" i="3"/>
  <c r="N199" i="3"/>
  <c r="M199" i="3"/>
  <c r="L199" i="3"/>
  <c r="H199" i="3"/>
  <c r="N198" i="3"/>
  <c r="M198" i="3"/>
  <c r="L198" i="3"/>
  <c r="H198" i="3"/>
  <c r="N197" i="3"/>
  <c r="M197" i="3"/>
  <c r="L197" i="3"/>
  <c r="H197" i="3"/>
  <c r="N196" i="3"/>
  <c r="M196" i="3"/>
  <c r="L196" i="3"/>
  <c r="H196" i="3"/>
  <c r="N195" i="3"/>
  <c r="M195" i="3"/>
  <c r="L195" i="3"/>
  <c r="H195" i="3"/>
  <c r="N194" i="3"/>
  <c r="M194" i="3"/>
  <c r="L194" i="3"/>
  <c r="H194" i="3"/>
  <c r="N193" i="3"/>
  <c r="M193" i="3"/>
  <c r="L193" i="3"/>
  <c r="H193" i="3"/>
  <c r="N192" i="3"/>
  <c r="M192" i="3"/>
  <c r="L192" i="3"/>
  <c r="H192" i="3"/>
  <c r="N191" i="3"/>
  <c r="M191" i="3"/>
  <c r="L191" i="3"/>
  <c r="H191" i="3"/>
  <c r="N190" i="3"/>
  <c r="M190" i="3"/>
  <c r="L190" i="3"/>
  <c r="H190" i="3"/>
  <c r="N189" i="3"/>
  <c r="M189" i="3"/>
  <c r="L189" i="3"/>
  <c r="H189" i="3"/>
  <c r="N188" i="3"/>
  <c r="M188" i="3"/>
  <c r="L188" i="3"/>
  <c r="H188" i="3"/>
  <c r="N187" i="3"/>
  <c r="M187" i="3"/>
  <c r="L187" i="3"/>
  <c r="H187" i="3"/>
  <c r="N186" i="3"/>
  <c r="M186" i="3"/>
  <c r="L186" i="3"/>
  <c r="H186" i="3"/>
  <c r="N185" i="3"/>
  <c r="M185" i="3"/>
  <c r="L185" i="3"/>
  <c r="H185" i="3"/>
  <c r="N184" i="3"/>
  <c r="M184" i="3"/>
  <c r="L184" i="3"/>
  <c r="H184" i="3"/>
  <c r="N183" i="3"/>
  <c r="M183" i="3"/>
  <c r="L183" i="3"/>
  <c r="H183" i="3"/>
  <c r="N182" i="3"/>
  <c r="M182" i="3"/>
  <c r="L182" i="3"/>
  <c r="H182" i="3"/>
  <c r="N181" i="3"/>
  <c r="M181" i="3"/>
  <c r="L181" i="3"/>
  <c r="H181" i="3"/>
  <c r="N180" i="3"/>
  <c r="M180" i="3"/>
  <c r="L180" i="3"/>
  <c r="H180" i="3"/>
  <c r="N179" i="3"/>
  <c r="M179" i="3"/>
  <c r="L179" i="3"/>
  <c r="H179" i="3"/>
  <c r="N178" i="3"/>
  <c r="M178" i="3"/>
  <c r="L178" i="3"/>
  <c r="H178" i="3"/>
  <c r="N177" i="3"/>
  <c r="M177" i="3"/>
  <c r="L177" i="3"/>
  <c r="H177" i="3"/>
  <c r="N176" i="3"/>
  <c r="M176" i="3"/>
  <c r="L176" i="3"/>
  <c r="H176" i="3"/>
  <c r="N175" i="3"/>
  <c r="M175" i="3"/>
  <c r="L175" i="3"/>
  <c r="H175" i="3"/>
  <c r="N174" i="3"/>
  <c r="M174" i="3"/>
  <c r="L174" i="3"/>
  <c r="H174" i="3"/>
  <c r="N173" i="3"/>
  <c r="M173" i="3"/>
  <c r="L173" i="3"/>
  <c r="H173" i="3"/>
  <c r="N172" i="3"/>
  <c r="M172" i="3"/>
  <c r="L172" i="3"/>
  <c r="H172" i="3"/>
  <c r="N171" i="3"/>
  <c r="M171" i="3"/>
  <c r="L171" i="3"/>
  <c r="H171" i="3"/>
  <c r="N170" i="3"/>
  <c r="M170" i="3"/>
  <c r="L170" i="3"/>
  <c r="H170" i="3"/>
  <c r="N169" i="3"/>
  <c r="M169" i="3"/>
  <c r="L169" i="3"/>
  <c r="H169" i="3"/>
  <c r="N168" i="3"/>
  <c r="M168" i="3"/>
  <c r="L168" i="3"/>
  <c r="H168" i="3"/>
  <c r="N167" i="3"/>
  <c r="M167" i="3"/>
  <c r="L167" i="3"/>
  <c r="H167" i="3"/>
  <c r="N166" i="3"/>
  <c r="M166" i="3"/>
  <c r="L166" i="3"/>
  <c r="H166" i="3"/>
  <c r="N165" i="3"/>
  <c r="M165" i="3"/>
  <c r="L165" i="3"/>
  <c r="H165" i="3"/>
  <c r="N164" i="3"/>
  <c r="M164" i="3"/>
  <c r="L164" i="3"/>
  <c r="H164" i="3"/>
  <c r="N163" i="3"/>
  <c r="M163" i="3"/>
  <c r="L163" i="3"/>
  <c r="H163" i="3"/>
  <c r="N162" i="3"/>
  <c r="M162" i="3"/>
  <c r="L162" i="3"/>
  <c r="H162" i="3"/>
  <c r="N161" i="3"/>
  <c r="M161" i="3"/>
  <c r="L161" i="3"/>
  <c r="H161" i="3"/>
  <c r="N160" i="3"/>
  <c r="M160" i="3"/>
  <c r="L160" i="3"/>
  <c r="H160" i="3"/>
  <c r="N159" i="3"/>
  <c r="M159" i="3"/>
  <c r="L159" i="3"/>
  <c r="H159" i="3"/>
  <c r="N158" i="3"/>
  <c r="M158" i="3"/>
  <c r="L158" i="3"/>
  <c r="H158" i="3"/>
  <c r="N157" i="3"/>
  <c r="M157" i="3"/>
  <c r="L157" i="3"/>
  <c r="H157" i="3"/>
  <c r="N156" i="3"/>
  <c r="M156" i="3"/>
  <c r="L156" i="3"/>
  <c r="H156" i="3"/>
  <c r="N155" i="3"/>
  <c r="M155" i="3"/>
  <c r="L155" i="3"/>
  <c r="H155" i="3"/>
  <c r="N154" i="3"/>
  <c r="M154" i="3"/>
  <c r="L154" i="3"/>
  <c r="H154" i="3"/>
  <c r="N153" i="3"/>
  <c r="M153" i="3"/>
  <c r="L153" i="3"/>
  <c r="H153" i="3"/>
  <c r="N152" i="3"/>
  <c r="M152" i="3"/>
  <c r="L152" i="3"/>
  <c r="H152" i="3"/>
  <c r="N151" i="3"/>
  <c r="M151" i="3"/>
  <c r="L151" i="3"/>
  <c r="H151" i="3"/>
  <c r="N150" i="3"/>
  <c r="M150" i="3"/>
  <c r="L150" i="3"/>
  <c r="H150" i="3"/>
  <c r="N149" i="3"/>
  <c r="M149" i="3"/>
  <c r="L149" i="3"/>
  <c r="H149" i="3"/>
  <c r="N148" i="3"/>
  <c r="M148" i="3"/>
  <c r="L148" i="3"/>
  <c r="H148" i="3"/>
  <c r="N147" i="3"/>
  <c r="M147" i="3"/>
  <c r="L147" i="3"/>
  <c r="H147" i="3"/>
  <c r="N146" i="3"/>
  <c r="M146" i="3"/>
  <c r="L146" i="3"/>
  <c r="H146" i="3"/>
  <c r="N145" i="3"/>
  <c r="M145" i="3"/>
  <c r="L145" i="3"/>
  <c r="H145" i="3"/>
  <c r="N144" i="3"/>
  <c r="M144" i="3"/>
  <c r="L144" i="3"/>
  <c r="H144" i="3"/>
  <c r="N143" i="3"/>
  <c r="M143" i="3"/>
  <c r="L143" i="3"/>
  <c r="H143" i="3"/>
  <c r="N142" i="3"/>
  <c r="M142" i="3"/>
  <c r="L142" i="3"/>
  <c r="H142" i="3"/>
  <c r="N141" i="3"/>
  <c r="M141" i="3"/>
  <c r="L141" i="3"/>
  <c r="H141" i="3"/>
  <c r="N140" i="3"/>
  <c r="M140" i="3"/>
  <c r="L140" i="3"/>
  <c r="H140" i="3"/>
  <c r="N139" i="3"/>
  <c r="M139" i="3"/>
  <c r="L139" i="3"/>
  <c r="H139" i="3"/>
  <c r="N138" i="3"/>
  <c r="M138" i="3"/>
  <c r="L138" i="3"/>
  <c r="H138" i="3"/>
  <c r="N137" i="3"/>
  <c r="M137" i="3"/>
  <c r="L137" i="3"/>
  <c r="H137" i="3"/>
  <c r="N136" i="3"/>
  <c r="M136" i="3"/>
  <c r="L136" i="3"/>
  <c r="H136" i="3"/>
  <c r="N135" i="3"/>
  <c r="M135" i="3"/>
  <c r="L135" i="3"/>
  <c r="H135" i="3"/>
  <c r="N134" i="3"/>
  <c r="M134" i="3"/>
  <c r="L134" i="3"/>
  <c r="H134" i="3"/>
  <c r="N133" i="3"/>
  <c r="M133" i="3"/>
  <c r="L133" i="3"/>
  <c r="H133" i="3"/>
  <c r="N132" i="3"/>
  <c r="M132" i="3"/>
  <c r="L132" i="3"/>
  <c r="H132" i="3"/>
  <c r="N131" i="3"/>
  <c r="M131" i="3"/>
  <c r="L131" i="3"/>
  <c r="H131" i="3"/>
  <c r="N130" i="3"/>
  <c r="M130" i="3"/>
  <c r="L130" i="3"/>
  <c r="H130" i="3"/>
  <c r="N129" i="3"/>
  <c r="M129" i="3"/>
  <c r="L129" i="3"/>
  <c r="H129" i="3"/>
  <c r="N128" i="3"/>
  <c r="M128" i="3"/>
  <c r="L128" i="3"/>
  <c r="H128" i="3"/>
  <c r="N127" i="3"/>
  <c r="M127" i="3"/>
  <c r="L127" i="3"/>
  <c r="H127" i="3"/>
  <c r="N126" i="3"/>
  <c r="M126" i="3"/>
  <c r="L126" i="3"/>
  <c r="H126" i="3"/>
  <c r="N125" i="3"/>
  <c r="M125" i="3"/>
  <c r="L125" i="3"/>
  <c r="H125" i="3"/>
  <c r="N124" i="3"/>
  <c r="M124" i="3"/>
  <c r="L124" i="3"/>
  <c r="H124" i="3"/>
  <c r="N123" i="3"/>
  <c r="M123" i="3"/>
  <c r="L123" i="3"/>
  <c r="H123" i="3"/>
  <c r="N122" i="3"/>
  <c r="M122" i="3"/>
  <c r="L122" i="3"/>
  <c r="H122" i="3"/>
  <c r="N121" i="3"/>
  <c r="M121" i="3"/>
  <c r="L121" i="3"/>
  <c r="H121" i="3"/>
  <c r="N120" i="3"/>
  <c r="M120" i="3"/>
  <c r="L120" i="3"/>
  <c r="H120" i="3"/>
  <c r="N119" i="3"/>
  <c r="M119" i="3"/>
  <c r="L119" i="3"/>
  <c r="H119" i="3"/>
  <c r="N118" i="3"/>
  <c r="M118" i="3"/>
  <c r="L118" i="3"/>
  <c r="H118" i="3"/>
  <c r="N117" i="3"/>
  <c r="M117" i="3"/>
  <c r="L117" i="3"/>
  <c r="H117" i="3"/>
  <c r="N116" i="3"/>
  <c r="M116" i="3"/>
  <c r="L116" i="3"/>
  <c r="H116" i="3"/>
  <c r="N115" i="3"/>
  <c r="M115" i="3"/>
  <c r="L115" i="3"/>
  <c r="H115" i="3"/>
  <c r="N114" i="3"/>
  <c r="M114" i="3"/>
  <c r="L114" i="3"/>
  <c r="H114" i="3"/>
  <c r="N113" i="3"/>
  <c r="M113" i="3"/>
  <c r="L113" i="3"/>
  <c r="H113" i="3"/>
  <c r="N112" i="3"/>
  <c r="M112" i="3"/>
  <c r="L112" i="3"/>
  <c r="H112" i="3"/>
  <c r="N111" i="3"/>
  <c r="M111" i="3"/>
  <c r="L111" i="3"/>
  <c r="H111" i="3"/>
  <c r="N110" i="3"/>
  <c r="M110" i="3"/>
  <c r="L110" i="3"/>
  <c r="H110" i="3"/>
  <c r="N109" i="3"/>
  <c r="M109" i="3"/>
  <c r="L109" i="3"/>
  <c r="H109" i="3"/>
  <c r="N108" i="3"/>
  <c r="M108" i="3"/>
  <c r="L108" i="3"/>
  <c r="H108" i="3"/>
  <c r="N107" i="3"/>
  <c r="M107" i="3"/>
  <c r="L107" i="3"/>
  <c r="H107" i="3"/>
  <c r="N106" i="3"/>
  <c r="M106" i="3"/>
  <c r="L106" i="3"/>
  <c r="H106" i="3"/>
  <c r="N105" i="3"/>
  <c r="M105" i="3"/>
  <c r="L105" i="3"/>
  <c r="H105" i="3"/>
  <c r="N104" i="3"/>
  <c r="M104" i="3"/>
  <c r="L104" i="3"/>
  <c r="H104" i="3"/>
  <c r="N103" i="3"/>
  <c r="M103" i="3"/>
  <c r="L103" i="3"/>
  <c r="H103" i="3"/>
  <c r="N102" i="3"/>
  <c r="M102" i="3"/>
  <c r="L102" i="3"/>
  <c r="H102" i="3"/>
  <c r="N101" i="3"/>
  <c r="M101" i="3"/>
  <c r="L101" i="3"/>
  <c r="H101" i="3"/>
  <c r="N100" i="3"/>
  <c r="M100" i="3"/>
  <c r="L100" i="3"/>
  <c r="H100" i="3"/>
  <c r="N99" i="3"/>
  <c r="M99" i="3"/>
  <c r="L99" i="3"/>
  <c r="H99" i="3"/>
  <c r="N98" i="3"/>
  <c r="M98" i="3"/>
  <c r="L98" i="3"/>
  <c r="H98" i="3"/>
  <c r="N97" i="3"/>
  <c r="M97" i="3"/>
  <c r="L97" i="3"/>
  <c r="H97" i="3"/>
  <c r="N96" i="3"/>
  <c r="M96" i="3"/>
  <c r="L96" i="3"/>
  <c r="H96" i="3"/>
  <c r="N95" i="3"/>
  <c r="M95" i="3"/>
  <c r="L95" i="3"/>
  <c r="H95" i="3"/>
  <c r="N94" i="3"/>
  <c r="M94" i="3"/>
  <c r="L94" i="3"/>
  <c r="H94" i="3"/>
  <c r="N93" i="3"/>
  <c r="M93" i="3"/>
  <c r="L93" i="3"/>
  <c r="H93" i="3"/>
  <c r="N92" i="3"/>
  <c r="M92" i="3"/>
  <c r="L92" i="3"/>
  <c r="H92" i="3"/>
  <c r="N91" i="3"/>
  <c r="M91" i="3"/>
  <c r="L91" i="3"/>
  <c r="H91" i="3"/>
  <c r="N90" i="3"/>
  <c r="M90" i="3"/>
  <c r="L90" i="3"/>
  <c r="H90" i="3"/>
  <c r="N89" i="3"/>
  <c r="M89" i="3"/>
  <c r="L89" i="3"/>
  <c r="H89" i="3"/>
  <c r="N88" i="3"/>
  <c r="M88" i="3"/>
  <c r="L88" i="3"/>
  <c r="H88" i="3"/>
  <c r="N87" i="3"/>
  <c r="M87" i="3"/>
  <c r="L87" i="3"/>
  <c r="H87" i="3"/>
  <c r="N86" i="3"/>
  <c r="M86" i="3"/>
  <c r="L86" i="3"/>
  <c r="H86" i="3"/>
  <c r="N85" i="3"/>
  <c r="M85" i="3"/>
  <c r="L85" i="3"/>
  <c r="H85" i="3"/>
  <c r="N84" i="3"/>
  <c r="M84" i="3"/>
  <c r="L84" i="3"/>
  <c r="H84" i="3"/>
  <c r="N83" i="3"/>
  <c r="M83" i="3"/>
  <c r="L83" i="3"/>
  <c r="H83" i="3"/>
  <c r="N82" i="3"/>
  <c r="M82" i="3"/>
  <c r="L82" i="3"/>
  <c r="H82" i="3"/>
  <c r="N81" i="3"/>
  <c r="M81" i="3"/>
  <c r="L81" i="3"/>
  <c r="H81" i="3"/>
  <c r="N80" i="3"/>
  <c r="M80" i="3"/>
  <c r="L80" i="3"/>
  <c r="H80" i="3"/>
  <c r="N79" i="3"/>
  <c r="M79" i="3"/>
  <c r="L79" i="3"/>
  <c r="H79" i="3"/>
  <c r="N78" i="3"/>
  <c r="M78" i="3"/>
  <c r="L78" i="3"/>
  <c r="H78" i="3"/>
  <c r="N77" i="3"/>
  <c r="M77" i="3"/>
  <c r="L77" i="3"/>
  <c r="H77" i="3"/>
  <c r="N76" i="3"/>
  <c r="M76" i="3"/>
  <c r="L76" i="3"/>
  <c r="H76" i="3"/>
  <c r="N75" i="3"/>
  <c r="M75" i="3"/>
  <c r="L75" i="3"/>
  <c r="H75" i="3"/>
  <c r="N74" i="3"/>
  <c r="M74" i="3"/>
  <c r="L74" i="3"/>
  <c r="H74" i="3"/>
  <c r="N73" i="3"/>
  <c r="M73" i="3"/>
  <c r="L73" i="3"/>
  <c r="H73" i="3"/>
  <c r="N72" i="3"/>
  <c r="M72" i="3"/>
  <c r="L72" i="3"/>
  <c r="H72" i="3"/>
  <c r="N71" i="3"/>
  <c r="M71" i="3"/>
  <c r="L71" i="3"/>
  <c r="H71" i="3"/>
  <c r="N70" i="3"/>
  <c r="M70" i="3"/>
  <c r="L70" i="3"/>
  <c r="H70" i="3"/>
  <c r="N69" i="3"/>
  <c r="M69" i="3"/>
  <c r="L69" i="3"/>
  <c r="H69" i="3"/>
  <c r="N68" i="3"/>
  <c r="M68" i="3"/>
  <c r="L68" i="3"/>
  <c r="H68" i="3"/>
  <c r="N67" i="3"/>
  <c r="M67" i="3"/>
  <c r="L67" i="3"/>
  <c r="H67" i="3"/>
  <c r="N66" i="3"/>
  <c r="M66" i="3"/>
  <c r="L66" i="3"/>
  <c r="H66" i="3"/>
  <c r="N65" i="3"/>
  <c r="M65" i="3"/>
  <c r="L65" i="3"/>
  <c r="H65" i="3"/>
  <c r="N64" i="3"/>
  <c r="M64" i="3"/>
  <c r="L64" i="3"/>
  <c r="H64" i="3"/>
  <c r="N63" i="3"/>
  <c r="M63" i="3"/>
  <c r="L63" i="3"/>
  <c r="H63" i="3"/>
  <c r="N62" i="3"/>
  <c r="M62" i="3"/>
  <c r="L62" i="3"/>
  <c r="H62" i="3"/>
  <c r="N61" i="3"/>
  <c r="M61" i="3"/>
  <c r="L61" i="3"/>
  <c r="H61" i="3"/>
  <c r="N60" i="3"/>
  <c r="M60" i="3"/>
  <c r="L60" i="3"/>
  <c r="H60" i="3"/>
  <c r="N59" i="3"/>
  <c r="M59" i="3"/>
  <c r="L59" i="3"/>
  <c r="H59" i="3"/>
  <c r="N58" i="3"/>
  <c r="M58" i="3"/>
  <c r="L58" i="3"/>
  <c r="H58" i="3"/>
  <c r="N57" i="3"/>
  <c r="M57" i="3"/>
  <c r="L57" i="3"/>
  <c r="H57" i="3"/>
  <c r="N56" i="3"/>
  <c r="M56" i="3"/>
  <c r="L56" i="3"/>
  <c r="H56" i="3"/>
  <c r="N55" i="3"/>
  <c r="M55" i="3"/>
  <c r="L55" i="3"/>
  <c r="H55" i="3"/>
  <c r="N54" i="3"/>
  <c r="M54" i="3"/>
  <c r="L54" i="3"/>
  <c r="H54" i="3"/>
  <c r="N53" i="3"/>
  <c r="M53" i="3"/>
  <c r="L53" i="3"/>
  <c r="H53" i="3"/>
  <c r="N52" i="3"/>
  <c r="M52" i="3"/>
  <c r="L52" i="3"/>
  <c r="H52" i="3"/>
  <c r="N51" i="3"/>
  <c r="M51" i="3"/>
  <c r="L51" i="3"/>
  <c r="H51" i="3"/>
  <c r="N50" i="3"/>
  <c r="M50" i="3"/>
  <c r="L50" i="3"/>
  <c r="H50" i="3"/>
  <c r="N49" i="3"/>
  <c r="M49" i="3"/>
  <c r="L49" i="3"/>
  <c r="H49" i="3"/>
  <c r="N48" i="3"/>
  <c r="M48" i="3"/>
  <c r="L48" i="3"/>
  <c r="H48" i="3"/>
  <c r="N47" i="3"/>
  <c r="M47" i="3"/>
  <c r="L47" i="3"/>
  <c r="H47" i="3"/>
  <c r="N46" i="3"/>
  <c r="M46" i="3"/>
  <c r="L46" i="3"/>
  <c r="H46" i="3"/>
  <c r="N45" i="3"/>
  <c r="M45" i="3"/>
  <c r="L45" i="3"/>
  <c r="H45" i="3"/>
  <c r="N44" i="3"/>
  <c r="M44" i="3"/>
  <c r="L44" i="3"/>
  <c r="H44" i="3"/>
  <c r="N43" i="3"/>
  <c r="M43" i="3"/>
  <c r="L43" i="3"/>
  <c r="H43" i="3"/>
  <c r="N42" i="3"/>
  <c r="M42" i="3"/>
  <c r="L42" i="3"/>
  <c r="H42" i="3"/>
  <c r="N41" i="3"/>
  <c r="M41" i="3"/>
  <c r="L41" i="3"/>
  <c r="H41" i="3"/>
  <c r="N40" i="3"/>
  <c r="M40" i="3"/>
  <c r="L40" i="3"/>
  <c r="H40" i="3"/>
  <c r="N39" i="3"/>
  <c r="M39" i="3"/>
  <c r="L39" i="3"/>
  <c r="H39" i="3"/>
  <c r="N38" i="3"/>
  <c r="M38" i="3"/>
  <c r="L38" i="3"/>
  <c r="H38" i="3"/>
  <c r="N37" i="3"/>
  <c r="M37" i="3"/>
  <c r="L37" i="3"/>
  <c r="H37" i="3"/>
  <c r="N36" i="3"/>
  <c r="M36" i="3"/>
  <c r="L36" i="3"/>
  <c r="H36" i="3"/>
  <c r="N35" i="3"/>
  <c r="M35" i="3"/>
  <c r="L35" i="3"/>
  <c r="H35" i="3"/>
  <c r="N34" i="3"/>
  <c r="M34" i="3"/>
  <c r="L34" i="3"/>
  <c r="H34" i="3"/>
  <c r="N33" i="3"/>
  <c r="M33" i="3"/>
  <c r="L33" i="3"/>
  <c r="H33" i="3"/>
  <c r="N32" i="3"/>
  <c r="M32" i="3"/>
  <c r="L32" i="3"/>
  <c r="H32" i="3"/>
  <c r="N31" i="3"/>
  <c r="M31" i="3"/>
  <c r="L31" i="3"/>
  <c r="H31" i="3"/>
  <c r="N30" i="3"/>
  <c r="M30" i="3"/>
  <c r="L30" i="3"/>
  <c r="H30" i="3"/>
  <c r="N29" i="3"/>
  <c r="M29" i="3"/>
  <c r="L29" i="3"/>
  <c r="H29" i="3"/>
  <c r="N28" i="3"/>
  <c r="M28" i="3"/>
  <c r="L28" i="3"/>
  <c r="H28" i="3"/>
  <c r="N27" i="3"/>
  <c r="M27" i="3"/>
  <c r="L27" i="3"/>
  <c r="H27" i="3"/>
  <c r="N26" i="3"/>
  <c r="M26" i="3"/>
  <c r="L26" i="3"/>
  <c r="H26" i="3"/>
  <c r="N25" i="3"/>
  <c r="M25" i="3"/>
  <c r="L25" i="3"/>
  <c r="H25" i="3"/>
  <c r="N24" i="3"/>
  <c r="M24" i="3"/>
  <c r="L24" i="3"/>
  <c r="H24" i="3"/>
  <c r="N23" i="3"/>
  <c r="M23" i="3"/>
  <c r="L23" i="3"/>
  <c r="H23" i="3"/>
  <c r="N22" i="3"/>
  <c r="M22" i="3"/>
  <c r="L22" i="3"/>
  <c r="H22" i="3"/>
  <c r="N21" i="3"/>
  <c r="M21" i="3"/>
  <c r="L21" i="3"/>
  <c r="H21" i="3"/>
  <c r="N20" i="3"/>
  <c r="M20" i="3"/>
  <c r="L20" i="3"/>
  <c r="H20" i="3"/>
  <c r="N19" i="3"/>
  <c r="M19" i="3"/>
  <c r="L19" i="3"/>
  <c r="H19" i="3"/>
  <c r="N18" i="3"/>
  <c r="M18" i="3"/>
  <c r="L18" i="3"/>
  <c r="H18" i="3"/>
  <c r="N17" i="3"/>
  <c r="M17" i="3"/>
  <c r="L17" i="3"/>
  <c r="H17" i="3"/>
  <c r="N16" i="3"/>
  <c r="M16" i="3"/>
  <c r="L16" i="3"/>
  <c r="H16" i="3"/>
  <c r="N15" i="3"/>
  <c r="M15" i="3"/>
  <c r="L15" i="3"/>
  <c r="H15" i="3"/>
  <c r="N14" i="3"/>
  <c r="M14" i="3"/>
  <c r="L14" i="3"/>
  <c r="H14" i="3"/>
  <c r="N13" i="3"/>
  <c r="M13" i="3"/>
  <c r="L13" i="3"/>
  <c r="H13" i="3"/>
  <c r="N12" i="3"/>
  <c r="M12" i="3"/>
  <c r="L12" i="3"/>
  <c r="H12" i="3"/>
  <c r="L11" i="3"/>
  <c r="I11" i="6" s="1"/>
  <c r="H11" i="3"/>
  <c r="L10" i="3"/>
  <c r="H10" i="3"/>
  <c r="H9" i="3"/>
  <c r="J8" i="6"/>
  <c r="H8" i="3"/>
  <c r="L7" i="3"/>
  <c r="I7" i="6" s="1"/>
  <c r="H7" i="3"/>
  <c r="L6" i="3"/>
  <c r="M6" i="3" s="1"/>
  <c r="H6" i="3"/>
  <c r="L5" i="3"/>
  <c r="J5" i="6" s="1"/>
  <c r="H5" i="3"/>
  <c r="L4" i="3"/>
  <c r="H4" i="3"/>
  <c r="A2" i="3"/>
  <c r="A5" i="1"/>
  <c r="A1" i="1"/>
  <c r="J10" i="6" l="1"/>
  <c r="G4" i="4"/>
  <c r="J9" i="6"/>
  <c r="G7" i="5"/>
  <c r="F7" i="5"/>
  <c r="F4" i="5"/>
  <c r="J4" i="6"/>
  <c r="G4" i="5"/>
  <c r="I4" i="6"/>
  <c r="I8" i="6"/>
  <c r="M4" i="3"/>
  <c r="M8" i="3"/>
  <c r="I5" i="6"/>
  <c r="I9" i="6"/>
  <c r="I6" i="6"/>
  <c r="I10" i="6"/>
  <c r="M10" i="3"/>
  <c r="M5" i="3"/>
  <c r="M7" i="3"/>
  <c r="D14" i="1" s="1"/>
  <c r="M9" i="3"/>
  <c r="M11" i="3"/>
  <c r="C13" i="1"/>
  <c r="E5" i="1" l="1"/>
  <c r="C8" i="1"/>
  <c r="C5" i="1"/>
  <c r="H7" i="5"/>
  <c r="B13" i="1"/>
  <c r="A8" i="1"/>
  <c r="D13" i="1"/>
  <c r="H4" i="5"/>
  <c r="J7" i="6"/>
  <c r="G6" i="5"/>
  <c r="C14" i="1"/>
  <c r="F6" i="5"/>
  <c r="B14" i="1"/>
  <c r="J11" i="6"/>
  <c r="G8" i="5"/>
  <c r="F8" i="5"/>
  <c r="J6" i="6"/>
  <c r="G5" i="5"/>
  <c r="F5" i="5"/>
  <c r="E8" i="1"/>
  <c r="H5" i="5" l="1"/>
  <c r="H6" i="5"/>
  <c r="H8" i="5"/>
</calcChain>
</file>

<file path=xl/sharedStrings.xml><?xml version="1.0" encoding="utf-8"?>
<sst xmlns="http://schemas.openxmlformats.org/spreadsheetml/2006/main" count="177" uniqueCount="114">
  <si>
    <t>Paper Reel Stock Dashboard — live from Reel Register + Usage Log</t>
  </si>
  <si>
    <t>SUMMARY</t>
  </si>
  <si>
    <t>Total reels</t>
  </si>
  <si>
    <t>Active + Low (stock)</t>
  </si>
  <si>
    <t>Available KG</t>
  </si>
  <si>
    <t>Consumed KG</t>
  </si>
  <si>
    <t>Low stock reels</t>
  </si>
  <si>
    <t>Consumed reels</t>
  </si>
  <si>
    <t>BY PAPER TYPE (active stock)</t>
  </si>
  <si>
    <t>Type</t>
  </si>
  <si>
    <t>Active qty</t>
  </si>
  <si>
    <t>KRAFT</t>
  </si>
  <si>
    <t>DUPLEX</t>
  </si>
  <si>
    <t>SHEETS</t>
  </si>
  <si>
    <t>Settings — firm name, low-stock rules</t>
  </si>
  <si>
    <t>Reel Register — master + edit specs (blue)</t>
  </si>
  <si>
    <t>Usage Log — consume / partial (drives Qty Left)</t>
  </si>
  <si>
    <t>Breakdown — GSM/BF/Deckle/Color active qty</t>
  </si>
  <si>
    <t>Physical Verify — print for floor check</t>
  </si>
  <si>
    <t>PAPER REEL STOCK — SETTINGS</t>
  </si>
  <si>
    <t>Pama Suite jaisa Excel system — blue cells INPUT, black/green = formulas (auto).</t>
  </si>
  <si>
    <t>Firm / Mill name</t>
  </si>
  <si>
    <t>Pama Paper</t>
  </si>
  <si>
    <t>Dashboard pe dikhega</t>
  </si>
  <si>
    <t>Low stock KG threshold</t>
  </si>
  <si>
    <t>Qty left isse kam = Low (app default 75 KG)</t>
  </si>
  <si>
    <t>Low stock % of opening</t>
  </si>
  <si>
    <t>Opening ka 15% se kam bhi Low</t>
  </si>
  <si>
    <t>HOW TO USE</t>
  </si>
  <si>
    <t>1. Reel Register: naya reel — Reel No, Type, Mill, GSM, BF, Deckle mm, Color, Opening KG (blue).</t>
  </si>
  <si>
    <t>2. Qty Left auto = Opening − Usage Log (SUMIF). Manual overwrite mat karo — usage entry se kam hoga.</t>
  </si>
  <si>
    <t>3. Usage Log: Date + Reel No (exact match) + KG Used. Full consume = poora remaining KG.</t>
  </si>
  <si>
    <t>4. Status auto: active / low / consumed. Spec galat ho to Register pe Type/GSM/BF/Deckle/Color edit karo.</t>
  </si>
  <si>
    <t>5. Breakdown: Active qty by Type+GSM+BF+Deckle+Color. Zero hide — AutoFilter Status, uncheck zero.</t>
  </si>
  <si>
    <t>6. Physical Verify: print (landscape) → Found ✓ / Phys. KG yellow cells. Filter Status=active pehle.</t>
  </si>
  <si>
    <t>7. 200 reels + 500 usage rows ke liye formulas pehle se ready hain — bas blue cells bharo.</t>
  </si>
  <si>
    <t>STATUS RULES</t>
  </si>
  <si>
    <t>active = Qty Left &gt; 0 aur low nahi</t>
  </si>
  <si>
    <t>low = Qty Left &gt; 0 lekin &lt; threshold YA &lt; 15% of opening</t>
  </si>
  <si>
    <t>consumed = Qty Left &lt;= 0</t>
  </si>
  <si>
    <t>Dashboard Active+Low = stock me maujood reels</t>
  </si>
  <si>
    <t>PAPER REEL REGISTER — har reel number</t>
  </si>
  <si>
    <t>In Date</t>
  </si>
  <si>
    <t>Reel No</t>
  </si>
  <si>
    <t>Mill</t>
  </si>
  <si>
    <t>GSM</t>
  </si>
  <si>
    <t>BF</t>
  </si>
  <si>
    <t>Deckle mm</t>
  </si>
  <si>
    <t>Deckle inch</t>
  </si>
  <si>
    <t>Color</t>
  </si>
  <si>
    <t>Condition</t>
  </si>
  <si>
    <t>Opening KG</t>
  </si>
  <si>
    <t>Qty Left KG</t>
  </si>
  <si>
    <t>Status</t>
  </si>
  <si>
    <t>Remark</t>
  </si>
  <si>
    <t>Bill No</t>
  </si>
  <si>
    <t>2026-08-01</t>
  </si>
  <si>
    <t>R-101</t>
  </si>
  <si>
    <t>ITC Paper</t>
  </si>
  <si>
    <t>NS</t>
  </si>
  <si>
    <t>fresh</t>
  </si>
  <si>
    <t>For carton A</t>
  </si>
  <si>
    <t>PB-1001</t>
  </si>
  <si>
    <t>R-102</t>
  </si>
  <si>
    <t>2026-08-03</t>
  </si>
  <si>
    <t>R-103</t>
  </si>
  <si>
    <t>JK Paper</t>
  </si>
  <si>
    <t>PB-1002</t>
  </si>
  <si>
    <t>2026-08-05</t>
  </si>
  <si>
    <t>R-104</t>
  </si>
  <si>
    <t>West Coast</t>
  </si>
  <si>
    <t>GY</t>
  </si>
  <si>
    <t>Print job</t>
  </si>
  <si>
    <t>PB-1003</t>
  </si>
  <si>
    <t>R-105</t>
  </si>
  <si>
    <t>partial</t>
  </si>
  <si>
    <t>Already used</t>
  </si>
  <si>
    <t>2026-08-10</t>
  </si>
  <si>
    <t>R-106</t>
  </si>
  <si>
    <t>PB-1004</t>
  </si>
  <si>
    <t>2026-08-12</t>
  </si>
  <si>
    <t>R-107</t>
  </si>
  <si>
    <t>Sample full consume</t>
  </si>
  <si>
    <t>PB-1005</t>
  </si>
  <si>
    <t>2026-08-15</t>
  </si>
  <si>
    <t>R-108</t>
  </si>
  <si>
    <t>PB-1006</t>
  </si>
  <si>
    <t>USAGE / CONSUME LOG — entry se Register Qty Left auto kam</t>
  </si>
  <si>
    <t>Date + Reel No (Register jaisa exact) + KG Used. Full consume = jitna Qty Left bacha hai.</t>
  </si>
  <si>
    <t>Date</t>
  </si>
  <si>
    <t>KG Used</t>
  </si>
  <si>
    <t>Job / Party</t>
  </si>
  <si>
    <t>Notes</t>
  </si>
  <si>
    <t>Opening (lookup)</t>
  </si>
  <si>
    <t>Qty Left now (lookup)</t>
  </si>
  <si>
    <t>2026-08-20</t>
  </si>
  <si>
    <t>Job-12</t>
  </si>
  <si>
    <t>Partial use</t>
  </si>
  <si>
    <t>2026-09-01</t>
  </si>
  <si>
    <t>Full consume</t>
  </si>
  <si>
    <t>Finished</t>
  </si>
  <si>
    <t>2026-09-05</t>
  </si>
  <si>
    <t>Corrugation</t>
  </si>
  <si>
    <t>Line 1</t>
  </si>
  <si>
    <t>BREAKDOWN — Type / GSM / BF / Deckle / Color (Active qty)</t>
  </si>
  <si>
    <t>Blue cells = config. Active qty / Available KG Register se. Zero hide: AutoFilter → Status → uncheck zero. Naya combo: next blank blue row bharo.</t>
  </si>
  <si>
    <t>Zero stock hide: filter Status column → uncheck zero (app jaisa Show zero stock off).</t>
  </si>
  <si>
    <t>PHYSICAL VERIFICATION — Reel No wise (print / floor)</t>
  </si>
  <si>
    <t>#</t>
  </si>
  <si>
    <t>Deckle</t>
  </si>
  <si>
    <t>Sys KG</t>
  </si>
  <si>
    <t>Found ✓</t>
  </si>
  <si>
    <t>Phys. KG</t>
  </si>
  <si>
    <t>Print: AutoFilter Status → Active+Low only. Yellow = floor write (Found / Phys KG / Notes).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</si>
</sst>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0F172A"/>
      <name val="Arial"/>
    </font>
    <font>
      <i/>
      <sz val="9"/>
      <color rgb="FF64748B"/>
      <name val="Arial"/>
    </font>
    <font>
      <sz val="10"/>
      <color rgb="FF0000FF"/>
      <name val="Arial"/>
    </font>
    <font>
      <b/>
      <sz val="12"/>
      <color rgb="FF0F172A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8000"/>
      <name val="Arial"/>
    </font>
    <font>
      <sz val="9"/>
      <color rgb="FF64748B"/>
      <name val="Arial"/>
    </font>
    <font>
      <b/>
      <sz val="18"/>
      <color rgb="FF1E3A5F"/>
      <name val="Arial"/>
    </font>
    <font>
      <b/>
      <sz val="18"/>
      <color rgb="FF047857"/>
      <name val="Arial"/>
    </font>
    <font>
      <b/>
      <sz val="18"/>
      <color rgb="FF334155"/>
      <name val="Arial"/>
    </font>
    <font>
      <b/>
      <sz val="18"/>
      <color rgb="FFB45309"/>
      <name val="Arial"/>
    </font>
    <font>
      <b/>
      <sz val="18"/>
      <color rgb="FFB91C1C"/>
      <name val="Arial"/>
    </font>
    <font>
      <b/>
      <sz val="11"/>
      <color rgb="FF047857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EF08A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/>
    <xf numFmtId="0" fontId="6" fillId="3" borderId="1" xfId="0" applyFont="1" applyFill="1" applyBorder="1"/>
    <xf numFmtId="0" fontId="7" fillId="0" borderId="1" xfId="0" applyFont="1" applyBorder="1"/>
    <xf numFmtId="0" fontId="15" fillId="0" borderId="1" xfId="0" applyFont="1" applyBorder="1"/>
    <xf numFmtId="2" fontId="15" fillId="0" borderId="1" xfId="0" applyNumberFormat="1" applyFont="1" applyBorder="1"/>
    <xf numFmtId="2" fontId="0" fillId="0" borderId="1" xfId="0" applyNumberFormat="1" applyBorder="1"/>
    <xf numFmtId="0" fontId="5" fillId="0" borderId="0" xfId="0" applyFont="1"/>
    <xf numFmtId="0" fontId="3" fillId="2" borderId="0" xfId="0" applyFont="1" applyFill="1"/>
    <xf numFmtId="2" fontId="3" fillId="2" borderId="0" xfId="0" applyNumberFormat="1" applyFont="1" applyFill="1"/>
    <xf numFmtId="9" fontId="3" fillId="2" borderId="0" xfId="0" applyNumberFormat="1" applyFont="1" applyFill="1"/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" fillId="0" borderId="0" xfId="0" applyFont="1"/>
    <xf numFmtId="0" fontId="0" fillId="0" borderId="0" xfId="0"/>
    <xf numFmtId="0" fontId="11" fillId="6" borderId="1" xfId="0" applyFont="1" applyFill="1" applyBorder="1"/>
    <xf numFmtId="0" fontId="0" fillId="0" borderId="1" xfId="0" applyBorder="1"/>
    <xf numFmtId="0" fontId="10" fillId="6" borderId="1" xfId="0" applyFont="1" applyFill="1" applyBorder="1"/>
    <xf numFmtId="4" fontId="11" fillId="6" borderId="1" xfId="0" applyNumberFormat="1" applyFont="1" applyFill="1" applyBorder="1"/>
    <xf numFmtId="4" fontId="12" fillId="6" borderId="1" xfId="0" applyNumberFormat="1" applyFont="1" applyFill="1" applyBorder="1"/>
    <xf numFmtId="0" fontId="14" fillId="6" borderId="1" xfId="0" applyFont="1" applyFill="1" applyBorder="1"/>
    <xf numFmtId="0" fontId="13" fillId="6" borderId="1" xfId="0" applyFont="1" applyFill="1" applyBorder="1"/>
    <xf numFmtId="0" fontId="9" fillId="7" borderId="0" xfId="0" applyFont="1" applyFill="1"/>
    <xf numFmtId="0" fontId="0" fillId="7" borderId="0" xfId="0" applyFill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9">
    <dxf>
      <fill>
        <patternFill patternType="solid">
          <fgColor rgb="FFD1FAE5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ECFD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24" sqref="D24"/>
    </sheetView>
  </sheetViews>
  <sheetFormatPr defaultRowHeight="14.25" x14ac:dyDescent="0.45"/>
  <cols>
    <col min="1" max="1" width="28" customWidth="1"/>
    <col min="2" max="6" width="14" customWidth="1"/>
  </cols>
  <sheetData>
    <row r="1" spans="1:6" ht="20.65" x14ac:dyDescent="0.6">
      <c r="A1" s="26" t="str">
        <f>Settings!B4</f>
        <v>Pama Paper</v>
      </c>
      <c r="B1" s="27"/>
      <c r="C1" s="27"/>
      <c r="D1" s="27"/>
      <c r="E1" s="27"/>
      <c r="F1" s="27"/>
    </row>
    <row r="2" spans="1:6" x14ac:dyDescent="0.45">
      <c r="A2" s="1" t="s">
        <v>0</v>
      </c>
    </row>
    <row r="3" spans="1:6" ht="15.4" x14ac:dyDescent="0.45">
      <c r="A3" s="2" t="s">
        <v>1</v>
      </c>
    </row>
    <row r="4" spans="1:6" x14ac:dyDescent="0.45">
      <c r="A4" s="35" t="s">
        <v>2</v>
      </c>
      <c r="B4" s="36"/>
      <c r="C4" s="35" t="s">
        <v>3</v>
      </c>
      <c r="D4" s="36"/>
      <c r="E4" s="35" t="s">
        <v>4</v>
      </c>
      <c r="F4" s="36"/>
    </row>
    <row r="5" spans="1:6" ht="22.5" x14ac:dyDescent="0.6">
      <c r="A5" s="30">
        <f>COUNTA('Reel Register'!B4:B203)</f>
        <v>8</v>
      </c>
      <c r="B5" s="29"/>
      <c r="C5" s="28">
        <f>COUNTIF('Reel Register'!N4:N203,"active")+COUNTIF('Reel Register'!N4:N203,"low")</f>
        <v>5</v>
      </c>
      <c r="D5" s="29"/>
      <c r="E5" s="31">
        <f>SUMIF('Reel Register'!N4:N203,"active",'Reel Register'!L4:L203)+SUMIF('Reel Register'!N4:N203,"low",'Reel Register'!L4:L203)</f>
        <v>2740</v>
      </c>
      <c r="F5" s="29"/>
    </row>
    <row r="7" spans="1:6" x14ac:dyDescent="0.45">
      <c r="A7" s="35" t="s">
        <v>5</v>
      </c>
      <c r="B7" s="36"/>
      <c r="C7" s="35" t="s">
        <v>6</v>
      </c>
      <c r="D7" s="36"/>
      <c r="E7" s="35" t="s">
        <v>7</v>
      </c>
      <c r="F7" s="36"/>
    </row>
    <row r="8" spans="1:6" ht="22.5" x14ac:dyDescent="0.6">
      <c r="A8" s="32">
        <f>SUM('Reel Register'!M4:M203)</f>
        <v>1370</v>
      </c>
      <c r="B8" s="29"/>
      <c r="C8" s="34">
        <f>COUNTIF('Reel Register'!N4:N203,"low")</f>
        <v>0</v>
      </c>
      <c r="D8" s="29"/>
      <c r="E8" s="33">
        <f>COUNTIF('Reel Register'!N4:N203,"consumed")</f>
        <v>3</v>
      </c>
      <c r="F8" s="29"/>
    </row>
    <row r="11" spans="1:6" ht="15.4" x14ac:dyDescent="0.45">
      <c r="A11" s="2" t="s">
        <v>8</v>
      </c>
    </row>
    <row r="12" spans="1:6" x14ac:dyDescent="0.45">
      <c r="A12" s="3" t="s">
        <v>9</v>
      </c>
      <c r="B12" s="3" t="s">
        <v>10</v>
      </c>
      <c r="C12" s="3" t="s">
        <v>4</v>
      </c>
      <c r="D12" s="3" t="s">
        <v>5</v>
      </c>
    </row>
    <row r="13" spans="1:6" x14ac:dyDescent="0.45">
      <c r="A13" s="4" t="s">
        <v>11</v>
      </c>
      <c r="B13" s="5">
        <f>COUNTIFS('Reel Register'!C4:C203,"KRAFT",'Reel Register'!N4:N203,"active")+COUNTIFS('Reel Register'!C4:C203,"KRAFT",'Reel Register'!N4:N203,"low")</f>
        <v>4</v>
      </c>
      <c r="C13" s="6">
        <f>SUMIFS('Reel Register'!L4:L203,'Reel Register'!C4:C203,"KRAFT",'Reel Register'!N4:N203,"active")+SUMIFS('Reel Register'!L4:L203,'Reel Register'!C4:C203,"KRAFT",'Reel Register'!N4:N203,"low")</f>
        <v>2260</v>
      </c>
      <c r="D13" s="7">
        <f>SUMIF('Reel Register'!C4:C203,"KRAFT",'Reel Register'!M4:M203)</f>
        <v>1150</v>
      </c>
    </row>
    <row r="14" spans="1:6" x14ac:dyDescent="0.45">
      <c r="A14" s="4" t="s">
        <v>12</v>
      </c>
      <c r="B14" s="5">
        <f>COUNTIFS('Reel Register'!C4:C203,"DUPLEX",'Reel Register'!N4:N203,"active")+COUNTIFS('Reel Register'!C4:C203,"DUPLEX",'Reel Register'!N4:N203,"low")</f>
        <v>1</v>
      </c>
      <c r="C14" s="6">
        <f>SUMIFS('Reel Register'!L4:L203,'Reel Register'!C4:C203,"DUPLEX",'Reel Register'!N4:N203,"active")+SUMIFS('Reel Register'!L4:L203,'Reel Register'!C4:C203,"DUPLEX",'Reel Register'!N4:N203,"low")</f>
        <v>480</v>
      </c>
      <c r="D14" s="7">
        <f>SUMIF('Reel Register'!C4:C203,"DUPLEX",'Reel Register'!M4:M203)</f>
        <v>220</v>
      </c>
    </row>
    <row r="16" spans="1:6" ht="15.4" x14ac:dyDescent="0.45">
      <c r="A16" s="2" t="s">
        <v>13</v>
      </c>
    </row>
    <row r="17" spans="1:1" x14ac:dyDescent="0.45">
      <c r="A17" s="8" t="s">
        <v>14</v>
      </c>
    </row>
    <row r="18" spans="1:1" x14ac:dyDescent="0.45">
      <c r="A18" s="8" t="s">
        <v>15</v>
      </c>
    </row>
    <row r="19" spans="1:1" x14ac:dyDescent="0.45">
      <c r="A19" s="8" t="s">
        <v>16</v>
      </c>
    </row>
    <row r="20" spans="1:1" x14ac:dyDescent="0.45">
      <c r="A20" s="8" t="s">
        <v>17</v>
      </c>
    </row>
    <row r="21" spans="1:1" x14ac:dyDescent="0.45">
      <c r="A21" s="8" t="s">
        <v>18</v>
      </c>
    </row>
  </sheetData>
  <mergeCells count="13">
    <mergeCell ref="A1:F1"/>
    <mergeCell ref="C5:D5"/>
    <mergeCell ref="A5:B5"/>
    <mergeCell ref="E5:F5"/>
    <mergeCell ref="A8:B8"/>
    <mergeCell ref="E8:F8"/>
    <mergeCell ref="C8:D8"/>
    <mergeCell ref="C4:D4"/>
    <mergeCell ref="A4:B4"/>
    <mergeCell ref="E4:F4"/>
    <mergeCell ref="C7:D7"/>
    <mergeCell ref="A7:B7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A10" sqref="A10:D10"/>
    </sheetView>
  </sheetViews>
  <sheetFormatPr defaultRowHeight="14.25" x14ac:dyDescent="0.45"/>
  <cols>
    <col min="1" max="1" width="28" customWidth="1"/>
    <col min="2" max="2" width="18" customWidth="1"/>
    <col min="3" max="3" width="62" customWidth="1"/>
    <col min="4" max="4" width="16" customWidth="1"/>
  </cols>
  <sheetData>
    <row r="1" spans="1:4" ht="24" customHeight="1" x14ac:dyDescent="0.6">
      <c r="A1" s="26" t="s">
        <v>19</v>
      </c>
      <c r="B1" s="27"/>
      <c r="C1" s="27"/>
      <c r="D1" s="27"/>
    </row>
    <row r="2" spans="1:4" x14ac:dyDescent="0.45">
      <c r="A2" s="38" t="s">
        <v>20</v>
      </c>
      <c r="B2" s="27"/>
      <c r="C2" s="27"/>
      <c r="D2" s="27"/>
    </row>
    <row r="4" spans="1:4" x14ac:dyDescent="0.45">
      <c r="A4" t="s">
        <v>21</v>
      </c>
      <c r="B4" s="9" t="s">
        <v>22</v>
      </c>
      <c r="C4" t="s">
        <v>23</v>
      </c>
    </row>
    <row r="5" spans="1:4" x14ac:dyDescent="0.45">
      <c r="A5" t="s">
        <v>24</v>
      </c>
      <c r="B5" s="10">
        <v>75</v>
      </c>
      <c r="C5" t="s">
        <v>25</v>
      </c>
    </row>
    <row r="6" spans="1:4" x14ac:dyDescent="0.45">
      <c r="A6" t="s">
        <v>26</v>
      </c>
      <c r="B6" s="11">
        <v>0.15</v>
      </c>
      <c r="C6" t="s">
        <v>27</v>
      </c>
    </row>
    <row r="8" spans="1:4" ht="15.4" x14ac:dyDescent="0.45">
      <c r="A8" s="2" t="s">
        <v>28</v>
      </c>
    </row>
    <row r="9" spans="1:4" x14ac:dyDescent="0.45">
      <c r="A9" s="37" t="s">
        <v>29</v>
      </c>
      <c r="B9" s="27"/>
      <c r="C9" s="27"/>
      <c r="D9" s="27"/>
    </row>
    <row r="10" spans="1:4" x14ac:dyDescent="0.45">
      <c r="A10" s="37" t="s">
        <v>30</v>
      </c>
      <c r="B10" s="27"/>
      <c r="C10" s="27"/>
      <c r="D10" s="27"/>
    </row>
    <row r="11" spans="1:4" x14ac:dyDescent="0.45">
      <c r="A11" s="37" t="s">
        <v>31</v>
      </c>
      <c r="B11" s="27"/>
      <c r="C11" s="27"/>
      <c r="D11" s="27"/>
    </row>
    <row r="12" spans="1:4" x14ac:dyDescent="0.45">
      <c r="A12" s="37" t="s">
        <v>32</v>
      </c>
      <c r="B12" s="27"/>
      <c r="C12" s="27"/>
      <c r="D12" s="27"/>
    </row>
    <row r="13" spans="1:4" x14ac:dyDescent="0.45">
      <c r="A13" s="37" t="s">
        <v>33</v>
      </c>
      <c r="B13" s="27"/>
      <c r="C13" s="27"/>
      <c r="D13" s="27"/>
    </row>
    <row r="14" spans="1:4" x14ac:dyDescent="0.45">
      <c r="A14" s="37" t="s">
        <v>34</v>
      </c>
      <c r="B14" s="27"/>
      <c r="C14" s="27"/>
      <c r="D14" s="27"/>
    </row>
    <row r="15" spans="1:4" x14ac:dyDescent="0.45">
      <c r="A15" s="37" t="s">
        <v>35</v>
      </c>
      <c r="B15" s="27"/>
      <c r="C15" s="27"/>
      <c r="D15" s="27"/>
    </row>
    <row r="17" spans="1:1" ht="15.4" x14ac:dyDescent="0.45">
      <c r="A17" s="2" t="s">
        <v>36</v>
      </c>
    </row>
    <row r="18" spans="1:1" x14ac:dyDescent="0.45">
      <c r="A18" t="s">
        <v>37</v>
      </c>
    </row>
    <row r="19" spans="1:1" x14ac:dyDescent="0.45">
      <c r="A19" t="s">
        <v>38</v>
      </c>
    </row>
    <row r="20" spans="1:1" x14ac:dyDescent="0.45">
      <c r="A20" t="s">
        <v>39</v>
      </c>
    </row>
    <row r="21" spans="1:1" x14ac:dyDescent="0.45">
      <c r="A21" t="s">
        <v>40</v>
      </c>
    </row>
  </sheetData>
  <mergeCells count="9">
    <mergeCell ref="A1:D1"/>
    <mergeCell ref="A9:D9"/>
    <mergeCell ref="A12:D12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3"/>
  <sheetViews>
    <sheetView workbookViewId="0">
      <pane ySplit="3" topLeftCell="A4" activePane="bottomLeft" state="frozen"/>
      <selection pane="bottomLeft" activeCell="L9" sqref="L9"/>
    </sheetView>
  </sheetViews>
  <sheetFormatPr defaultRowHeight="14.25" x14ac:dyDescent="0.45"/>
  <cols>
    <col min="1" max="2" width="12" customWidth="1"/>
    <col min="3" max="3" width="10" customWidth="1"/>
    <col min="4" max="4" width="14" customWidth="1"/>
    <col min="5" max="6" width="8" customWidth="1"/>
    <col min="7" max="8" width="11" customWidth="1"/>
    <col min="9" max="9" width="8" customWidth="1"/>
    <col min="10" max="10" width="10" customWidth="1"/>
    <col min="11" max="13" width="12" customWidth="1"/>
    <col min="14" max="14" width="11" customWidth="1"/>
    <col min="15" max="15" width="18" customWidth="1"/>
    <col min="16" max="16" width="12" customWidth="1"/>
  </cols>
  <sheetData>
    <row r="1" spans="1:16" ht="20.65" x14ac:dyDescent="0.6">
      <c r="A1" s="26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45">
      <c r="A2" s="38" t="str">
        <f>Settings!B4&amp;"  ·  Blue = input  ·  Qty Left = Opening − Usage  ·  Filter Status for active-only list"</f>
        <v>Pama Paper  ·  Blue = input  ·  Qty Left = Opening − Usage  ·  Filter Status for active-only list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30" customHeight="1" x14ac:dyDescent="0.45">
      <c r="A3" s="12" t="s">
        <v>42</v>
      </c>
      <c r="B3" s="12" t="s">
        <v>43</v>
      </c>
      <c r="C3" s="12" t="s">
        <v>9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  <c r="J3" s="12" t="s">
        <v>50</v>
      </c>
      <c r="K3" s="12" t="s">
        <v>51</v>
      </c>
      <c r="L3" s="12" t="s">
        <v>52</v>
      </c>
      <c r="M3" s="12" t="s">
        <v>5</v>
      </c>
      <c r="N3" s="12" t="s">
        <v>53</v>
      </c>
      <c r="O3" s="12" t="s">
        <v>54</v>
      </c>
      <c r="P3" s="12" t="s">
        <v>55</v>
      </c>
    </row>
    <row r="4" spans="1:16" x14ac:dyDescent="0.45">
      <c r="A4" s="13" t="s">
        <v>56</v>
      </c>
      <c r="B4" s="13" t="s">
        <v>57</v>
      </c>
      <c r="C4" s="13" t="s">
        <v>11</v>
      </c>
      <c r="D4" s="14" t="s">
        <v>58</v>
      </c>
      <c r="E4" s="13">
        <v>120</v>
      </c>
      <c r="F4" s="13">
        <v>18</v>
      </c>
      <c r="G4" s="13">
        <v>1400</v>
      </c>
      <c r="H4" s="15">
        <f t="shared" ref="H4:H35" si="0">IF(G4="","",ROUND(G4/25.4,3))</f>
        <v>55.118000000000002</v>
      </c>
      <c r="I4" s="13" t="s">
        <v>59</v>
      </c>
      <c r="J4" s="13" t="s">
        <v>60</v>
      </c>
      <c r="K4" s="16">
        <v>520</v>
      </c>
      <c r="L4" s="17">
        <f>IF(B4="","",MAX(0,IF(K4="",0,K4)-SUMIF('Usage Log'!$B$4:$B$503,B4,'Usage Log'!$C$4:$C$503)))</f>
        <v>420</v>
      </c>
      <c r="M4" s="18">
        <f t="shared" ref="M4:M35" si="1">IF(B4="","",IF(K4="",0,K4)-L4)</f>
        <v>100</v>
      </c>
      <c r="N4" s="15" t="str">
        <f>IF(B4="","",IF(L4&lt;=0,"consumed",IF(OR(L4&lt;Settings!$B$5,AND(K4&gt;0,L4/K4&lt;Settings!$B$6)),"low","active")))</f>
        <v>active</v>
      </c>
      <c r="O4" s="14" t="s">
        <v>61</v>
      </c>
      <c r="P4" s="14" t="s">
        <v>62</v>
      </c>
    </row>
    <row r="5" spans="1:16" x14ac:dyDescent="0.45">
      <c r="A5" s="13" t="s">
        <v>56</v>
      </c>
      <c r="B5" s="13" t="s">
        <v>63</v>
      </c>
      <c r="C5" s="13" t="s">
        <v>11</v>
      </c>
      <c r="D5" s="14" t="s">
        <v>58</v>
      </c>
      <c r="E5" s="13">
        <v>120</v>
      </c>
      <c r="F5" s="13">
        <v>18</v>
      </c>
      <c r="G5" s="13">
        <v>1400</v>
      </c>
      <c r="H5" s="15">
        <f t="shared" si="0"/>
        <v>55.118000000000002</v>
      </c>
      <c r="I5" s="13" t="s">
        <v>59</v>
      </c>
      <c r="J5" s="13" t="s">
        <v>60</v>
      </c>
      <c r="K5" s="16">
        <v>510</v>
      </c>
      <c r="L5" s="17">
        <f>IF(B5="","",MAX(0,IF(K5="",0,K5)-SUMIF('Usage Log'!$B$4:$B$503,B5,'Usage Log'!$C$4:$C$503)))</f>
        <v>510</v>
      </c>
      <c r="M5" s="18">
        <f t="shared" si="1"/>
        <v>0</v>
      </c>
      <c r="N5" s="15" t="str">
        <f>IF(B5="","",IF(L5&lt;=0,"consumed",IF(OR(L5&lt;Settings!$B$5,AND(K5&gt;0,L5/K5&lt;Settings!$B$6)),"low","active")))</f>
        <v>active</v>
      </c>
      <c r="O5" s="14"/>
      <c r="P5" s="14" t="s">
        <v>62</v>
      </c>
    </row>
    <row r="6" spans="1:16" x14ac:dyDescent="0.45">
      <c r="A6" s="13" t="s">
        <v>64</v>
      </c>
      <c r="B6" s="13" t="s">
        <v>65</v>
      </c>
      <c r="C6" s="13" t="s">
        <v>11</v>
      </c>
      <c r="D6" s="14" t="s">
        <v>66</v>
      </c>
      <c r="E6" s="13">
        <v>140</v>
      </c>
      <c r="F6" s="13">
        <v>20</v>
      </c>
      <c r="G6" s="13">
        <v>1600</v>
      </c>
      <c r="H6" s="15">
        <f t="shared" si="0"/>
        <v>62.991999999999997</v>
      </c>
      <c r="I6" s="13" t="s">
        <v>59</v>
      </c>
      <c r="J6" s="13" t="s">
        <v>60</v>
      </c>
      <c r="K6" s="16">
        <v>610</v>
      </c>
      <c r="L6" s="17">
        <f>IF(B6="","",MAX(0,IF(K6="",0,K6)-SUMIF('Usage Log'!$B$4:$B$503,B6,'Usage Log'!$C$4:$C$503)))</f>
        <v>610</v>
      </c>
      <c r="M6" s="18">
        <f t="shared" si="1"/>
        <v>0</v>
      </c>
      <c r="N6" s="15" t="str">
        <f>IF(B6="","",IF(L6&lt;=0,"consumed",IF(OR(L6&lt;Settings!$B$5,AND(K6&gt;0,L6/K6&lt;Settings!$B$6)),"low","active")))</f>
        <v>active</v>
      </c>
      <c r="O6" s="14"/>
      <c r="P6" s="14" t="s">
        <v>67</v>
      </c>
    </row>
    <row r="7" spans="1:16" x14ac:dyDescent="0.45">
      <c r="A7" s="13" t="s">
        <v>68</v>
      </c>
      <c r="B7" s="13" t="s">
        <v>69</v>
      </c>
      <c r="C7" s="13" t="s">
        <v>12</v>
      </c>
      <c r="D7" s="14" t="s">
        <v>70</v>
      </c>
      <c r="E7" s="13">
        <v>230</v>
      </c>
      <c r="F7" s="13">
        <v>18</v>
      </c>
      <c r="G7" s="13">
        <v>1200</v>
      </c>
      <c r="H7" s="15">
        <f t="shared" si="0"/>
        <v>47.244</v>
      </c>
      <c r="I7" s="13" t="s">
        <v>71</v>
      </c>
      <c r="J7" s="13" t="s">
        <v>60</v>
      </c>
      <c r="K7" s="16">
        <v>480</v>
      </c>
      <c r="L7" s="17">
        <f>IF(B7="","",MAX(0,IF(K7="",0,K7)-SUMIF('Usage Log'!$B$4:$B$503,B7,'Usage Log'!$C$4:$C$503)))</f>
        <v>480</v>
      </c>
      <c r="M7" s="18">
        <f t="shared" si="1"/>
        <v>0</v>
      </c>
      <c r="N7" s="15" t="str">
        <f>IF(B7="","",IF(L7&lt;=0,"consumed",IF(OR(L7&lt;Settings!$B$5,AND(K7&gt;0,L7/K7&lt;Settings!$B$6)),"low","active")))</f>
        <v>active</v>
      </c>
      <c r="O7" s="14" t="s">
        <v>72</v>
      </c>
      <c r="P7" s="14" t="s">
        <v>73</v>
      </c>
    </row>
    <row r="8" spans="1:16" x14ac:dyDescent="0.45">
      <c r="A8" s="13" t="s">
        <v>68</v>
      </c>
      <c r="B8" s="13" t="s">
        <v>74</v>
      </c>
      <c r="C8" s="13" t="s">
        <v>12</v>
      </c>
      <c r="D8" s="14" t="s">
        <v>70</v>
      </c>
      <c r="E8" s="13">
        <v>230</v>
      </c>
      <c r="F8" s="13">
        <v>18</v>
      </c>
      <c r="G8" s="13">
        <v>1200</v>
      </c>
      <c r="H8" s="15">
        <f t="shared" si="0"/>
        <v>47.244</v>
      </c>
      <c r="I8" s="13" t="s">
        <v>71</v>
      </c>
      <c r="J8" s="13" t="s">
        <v>75</v>
      </c>
      <c r="K8" s="16">
        <v>220</v>
      </c>
      <c r="L8" s="17">
        <v>0</v>
      </c>
      <c r="M8" s="18">
        <f t="shared" si="1"/>
        <v>220</v>
      </c>
      <c r="N8" s="15" t="str">
        <f>IF(B8="","",IF(L8&lt;=0,"consumed",IF(OR(L8&lt;Settings!$B$5,AND(K8&gt;0,L8/K8&lt;Settings!$B$6)),"low","active")))</f>
        <v>consumed</v>
      </c>
      <c r="O8" s="14" t="s">
        <v>76</v>
      </c>
      <c r="P8" s="14" t="s">
        <v>73</v>
      </c>
    </row>
    <row r="9" spans="1:16" x14ac:dyDescent="0.45">
      <c r="A9" s="13" t="s">
        <v>77</v>
      </c>
      <c r="B9" s="13" t="s">
        <v>78</v>
      </c>
      <c r="C9" s="13" t="s">
        <v>11</v>
      </c>
      <c r="D9" s="14" t="s">
        <v>58</v>
      </c>
      <c r="E9" s="13">
        <v>150</v>
      </c>
      <c r="F9" s="13">
        <v>22</v>
      </c>
      <c r="G9" s="13">
        <v>1400</v>
      </c>
      <c r="H9" s="15">
        <f t="shared" si="0"/>
        <v>55.118000000000002</v>
      </c>
      <c r="I9" s="13" t="s">
        <v>59</v>
      </c>
      <c r="J9" s="13" t="s">
        <v>60</v>
      </c>
      <c r="K9" s="16">
        <v>550</v>
      </c>
      <c r="L9" s="17">
        <v>0</v>
      </c>
      <c r="M9" s="18">
        <f t="shared" si="1"/>
        <v>550</v>
      </c>
      <c r="N9" s="15" t="str">
        <f>IF(B9="","",IF(L9&lt;=0,"consumed",IF(OR(L9&lt;Settings!$B$5,AND(K9&gt;0,L9/K9&lt;Settings!$B$6)),"low","active")))</f>
        <v>consumed</v>
      </c>
      <c r="O9" s="14"/>
      <c r="P9" s="14" t="s">
        <v>79</v>
      </c>
    </row>
    <row r="10" spans="1:16" x14ac:dyDescent="0.45">
      <c r="A10" s="13" t="s">
        <v>80</v>
      </c>
      <c r="B10" s="13" t="s">
        <v>81</v>
      </c>
      <c r="C10" s="13" t="s">
        <v>11</v>
      </c>
      <c r="D10" s="14" t="s">
        <v>66</v>
      </c>
      <c r="E10" s="13">
        <v>120</v>
      </c>
      <c r="F10" s="13">
        <v>18</v>
      </c>
      <c r="G10" s="13">
        <v>1400</v>
      </c>
      <c r="H10" s="15">
        <f t="shared" si="0"/>
        <v>55.118000000000002</v>
      </c>
      <c r="I10" s="13" t="s">
        <v>59</v>
      </c>
      <c r="J10" s="13" t="s">
        <v>60</v>
      </c>
      <c r="K10" s="16">
        <v>500</v>
      </c>
      <c r="L10" s="17">
        <f>IF(B10="","",MAX(0,IF(K10="",0,K10)-SUMIF('Usage Log'!$B$4:$B$503,B10,'Usage Log'!$C$4:$C$503)))</f>
        <v>0</v>
      </c>
      <c r="M10" s="18">
        <f t="shared" si="1"/>
        <v>500</v>
      </c>
      <c r="N10" s="15" t="str">
        <f>IF(B10="","",IF(L10&lt;=0,"consumed",IF(OR(L10&lt;Settings!$B$5,AND(K10&gt;0,L10/K10&lt;Settings!$B$6)),"low","active")))</f>
        <v>consumed</v>
      </c>
      <c r="O10" s="14" t="s">
        <v>82</v>
      </c>
      <c r="P10" s="14" t="s">
        <v>83</v>
      </c>
    </row>
    <row r="11" spans="1:16" x14ac:dyDescent="0.45">
      <c r="A11" s="13" t="s">
        <v>84</v>
      </c>
      <c r="B11" s="13" t="s">
        <v>85</v>
      </c>
      <c r="C11" s="13" t="s">
        <v>11</v>
      </c>
      <c r="D11" s="14" t="s">
        <v>58</v>
      </c>
      <c r="E11" s="13">
        <v>180</v>
      </c>
      <c r="F11" s="13">
        <v>20</v>
      </c>
      <c r="G11" s="13">
        <v>1800</v>
      </c>
      <c r="H11" s="15">
        <f t="shared" si="0"/>
        <v>70.866</v>
      </c>
      <c r="I11" s="13" t="s">
        <v>59</v>
      </c>
      <c r="J11" s="13" t="s">
        <v>60</v>
      </c>
      <c r="K11" s="16">
        <v>720</v>
      </c>
      <c r="L11" s="17">
        <f>IF(B11="","",MAX(0,IF(K11="",0,K11)-SUMIF('Usage Log'!$B$4:$B$503,B11,'Usage Log'!$C$4:$C$503)))</f>
        <v>720</v>
      </c>
      <c r="M11" s="18">
        <f t="shared" si="1"/>
        <v>0</v>
      </c>
      <c r="N11" s="15" t="str">
        <f>IF(B11="","",IF(L11&lt;=0,"consumed",IF(OR(L11&lt;Settings!$B$5,AND(K11&gt;0,L11/K11&lt;Settings!$B$6)),"low","active")))</f>
        <v>active</v>
      </c>
      <c r="O11" s="14"/>
      <c r="P11" s="14" t="s">
        <v>86</v>
      </c>
    </row>
    <row r="12" spans="1:16" x14ac:dyDescent="0.45">
      <c r="A12" s="13"/>
      <c r="B12" s="13"/>
      <c r="C12" s="13"/>
      <c r="D12" s="14"/>
      <c r="E12" s="13"/>
      <c r="F12" s="13"/>
      <c r="G12" s="13"/>
      <c r="H12" s="15" t="str">
        <f t="shared" si="0"/>
        <v/>
      </c>
      <c r="I12" s="13"/>
      <c r="J12" s="13"/>
      <c r="K12" s="16"/>
      <c r="L12" s="17" t="str">
        <f>IF(B12="","",MAX(0,IF(K12="",0,K12)-SUMIF('Usage Log'!$B$4:$B$503,B12,'Usage Log'!$C$4:$C$503)))</f>
        <v/>
      </c>
      <c r="M12" s="18" t="str">
        <f t="shared" si="1"/>
        <v/>
      </c>
      <c r="N12" s="15" t="str">
        <f>IF(B12="","",IF(L12&lt;=0,"consumed",IF(OR(L12&lt;Settings!$B$5,AND(K12&gt;0,L12/K12&lt;Settings!$B$6)),"low","active")))</f>
        <v/>
      </c>
      <c r="O12" s="14"/>
      <c r="P12" s="14"/>
    </row>
    <row r="13" spans="1:16" x14ac:dyDescent="0.45">
      <c r="A13" s="13"/>
      <c r="B13" s="13"/>
      <c r="C13" s="13"/>
      <c r="D13" s="14"/>
      <c r="E13" s="13"/>
      <c r="F13" s="13"/>
      <c r="G13" s="13"/>
      <c r="H13" s="15" t="str">
        <f t="shared" si="0"/>
        <v/>
      </c>
      <c r="I13" s="13"/>
      <c r="J13" s="13"/>
      <c r="K13" s="16"/>
      <c r="L13" s="17" t="str">
        <f>IF(B13="","",MAX(0,IF(K13="",0,K13)-SUMIF('Usage Log'!$B$4:$B$503,B13,'Usage Log'!$C$4:$C$503)))</f>
        <v/>
      </c>
      <c r="M13" s="18" t="str">
        <f t="shared" si="1"/>
        <v/>
      </c>
      <c r="N13" s="15" t="str">
        <f>IF(B13="","",IF(L13&lt;=0,"consumed",IF(OR(L13&lt;Settings!$B$5,AND(K13&gt;0,L13/K13&lt;Settings!$B$6)),"low","active")))</f>
        <v/>
      </c>
      <c r="O13" s="14"/>
      <c r="P13" s="14"/>
    </row>
    <row r="14" spans="1:16" x14ac:dyDescent="0.45">
      <c r="A14" s="13"/>
      <c r="B14" s="13"/>
      <c r="C14" s="13"/>
      <c r="D14" s="14"/>
      <c r="E14" s="13"/>
      <c r="F14" s="13"/>
      <c r="G14" s="13"/>
      <c r="H14" s="15" t="str">
        <f t="shared" si="0"/>
        <v/>
      </c>
      <c r="I14" s="13"/>
      <c r="J14" s="13"/>
      <c r="K14" s="16"/>
      <c r="L14" s="17" t="str">
        <f>IF(B14="","",MAX(0,IF(K14="",0,K14)-SUMIF('Usage Log'!$B$4:$B$503,B14,'Usage Log'!$C$4:$C$503)))</f>
        <v/>
      </c>
      <c r="M14" s="18" t="str">
        <f t="shared" si="1"/>
        <v/>
      </c>
      <c r="N14" s="15" t="str">
        <f>IF(B14="","",IF(L14&lt;=0,"consumed",IF(OR(L14&lt;Settings!$B$5,AND(K14&gt;0,L14/K14&lt;Settings!$B$6)),"low","active")))</f>
        <v/>
      </c>
      <c r="O14" s="14"/>
      <c r="P14" s="14"/>
    </row>
    <row r="15" spans="1:16" x14ac:dyDescent="0.45">
      <c r="A15" s="13"/>
      <c r="B15" s="13"/>
      <c r="C15" s="13"/>
      <c r="D15" s="14"/>
      <c r="E15" s="13"/>
      <c r="F15" s="13"/>
      <c r="G15" s="13"/>
      <c r="H15" s="15" t="str">
        <f t="shared" si="0"/>
        <v/>
      </c>
      <c r="I15" s="13"/>
      <c r="J15" s="13"/>
      <c r="K15" s="16"/>
      <c r="L15" s="17" t="str">
        <f>IF(B15="","",MAX(0,IF(K15="",0,K15)-SUMIF('Usage Log'!$B$4:$B$503,B15,'Usage Log'!$C$4:$C$503)))</f>
        <v/>
      </c>
      <c r="M15" s="18" t="str">
        <f t="shared" si="1"/>
        <v/>
      </c>
      <c r="N15" s="15" t="str">
        <f>IF(B15="","",IF(L15&lt;=0,"consumed",IF(OR(L15&lt;Settings!$B$5,AND(K15&gt;0,L15/K15&lt;Settings!$B$6)),"low","active")))</f>
        <v/>
      </c>
      <c r="O15" s="14"/>
      <c r="P15" s="14"/>
    </row>
    <row r="16" spans="1:16" x14ac:dyDescent="0.45">
      <c r="A16" s="13"/>
      <c r="B16" s="13"/>
      <c r="C16" s="13"/>
      <c r="D16" s="14"/>
      <c r="E16" s="13"/>
      <c r="F16" s="13"/>
      <c r="G16" s="13"/>
      <c r="H16" s="15" t="str">
        <f t="shared" si="0"/>
        <v/>
      </c>
      <c r="I16" s="13"/>
      <c r="J16" s="13"/>
      <c r="K16" s="16"/>
      <c r="L16" s="17" t="str">
        <f>IF(B16="","",MAX(0,IF(K16="",0,K16)-SUMIF('Usage Log'!$B$4:$B$503,B16,'Usage Log'!$C$4:$C$503)))</f>
        <v/>
      </c>
      <c r="M16" s="18" t="str">
        <f t="shared" si="1"/>
        <v/>
      </c>
      <c r="N16" s="15" t="str">
        <f>IF(B16="","",IF(L16&lt;=0,"consumed",IF(OR(L16&lt;Settings!$B$5,AND(K16&gt;0,L16/K16&lt;Settings!$B$6)),"low","active")))</f>
        <v/>
      </c>
      <c r="O16" s="14"/>
      <c r="P16" s="14"/>
    </row>
    <row r="17" spans="1:16" x14ac:dyDescent="0.45">
      <c r="A17" s="13"/>
      <c r="B17" s="13"/>
      <c r="C17" s="13"/>
      <c r="D17" s="14"/>
      <c r="E17" s="13"/>
      <c r="F17" s="13"/>
      <c r="G17" s="13"/>
      <c r="H17" s="15" t="str">
        <f t="shared" si="0"/>
        <v/>
      </c>
      <c r="I17" s="13"/>
      <c r="J17" s="13"/>
      <c r="K17" s="16"/>
      <c r="L17" s="17" t="str">
        <f>IF(B17="","",MAX(0,IF(K17="",0,K17)-SUMIF('Usage Log'!$B$4:$B$503,B17,'Usage Log'!$C$4:$C$503)))</f>
        <v/>
      </c>
      <c r="M17" s="18" t="str">
        <f t="shared" si="1"/>
        <v/>
      </c>
      <c r="N17" s="15" t="str">
        <f>IF(B17="","",IF(L17&lt;=0,"consumed",IF(OR(L17&lt;Settings!$B$5,AND(K17&gt;0,L17/K17&lt;Settings!$B$6)),"low","active")))</f>
        <v/>
      </c>
      <c r="O17" s="14"/>
      <c r="P17" s="14"/>
    </row>
    <row r="18" spans="1:16" x14ac:dyDescent="0.45">
      <c r="A18" s="13"/>
      <c r="B18" s="13"/>
      <c r="C18" s="13"/>
      <c r="D18" s="14"/>
      <c r="E18" s="13"/>
      <c r="F18" s="13"/>
      <c r="G18" s="13"/>
      <c r="H18" s="15" t="str">
        <f t="shared" si="0"/>
        <v/>
      </c>
      <c r="I18" s="13"/>
      <c r="J18" s="13"/>
      <c r="K18" s="16"/>
      <c r="L18" s="17" t="str">
        <f>IF(B18="","",MAX(0,IF(K18="",0,K18)-SUMIF('Usage Log'!$B$4:$B$503,B18,'Usage Log'!$C$4:$C$503)))</f>
        <v/>
      </c>
      <c r="M18" s="18" t="str">
        <f t="shared" si="1"/>
        <v/>
      </c>
      <c r="N18" s="15" t="str">
        <f>IF(B18="","",IF(L18&lt;=0,"consumed",IF(OR(L18&lt;Settings!$B$5,AND(K18&gt;0,L18/K18&lt;Settings!$B$6)),"low","active")))</f>
        <v/>
      </c>
      <c r="O18" s="14"/>
      <c r="P18" s="14"/>
    </row>
    <row r="19" spans="1:16" x14ac:dyDescent="0.45">
      <c r="A19" s="13"/>
      <c r="B19" s="13"/>
      <c r="C19" s="13"/>
      <c r="D19" s="14"/>
      <c r="E19" s="13"/>
      <c r="F19" s="13"/>
      <c r="G19" s="13"/>
      <c r="H19" s="15" t="str">
        <f t="shared" si="0"/>
        <v/>
      </c>
      <c r="I19" s="13"/>
      <c r="J19" s="13"/>
      <c r="K19" s="16"/>
      <c r="L19" s="17" t="str">
        <f>IF(B19="","",MAX(0,IF(K19="",0,K19)-SUMIF('Usage Log'!$B$4:$B$503,B19,'Usage Log'!$C$4:$C$503)))</f>
        <v/>
      </c>
      <c r="M19" s="18" t="str">
        <f t="shared" si="1"/>
        <v/>
      </c>
      <c r="N19" s="15" t="str">
        <f>IF(B19="","",IF(L19&lt;=0,"consumed",IF(OR(L19&lt;Settings!$B$5,AND(K19&gt;0,L19/K19&lt;Settings!$B$6)),"low","active")))</f>
        <v/>
      </c>
      <c r="O19" s="14"/>
      <c r="P19" s="14"/>
    </row>
    <row r="20" spans="1:16" x14ac:dyDescent="0.45">
      <c r="A20" s="13"/>
      <c r="B20" s="13"/>
      <c r="C20" s="13"/>
      <c r="D20" s="14"/>
      <c r="E20" s="13"/>
      <c r="F20" s="13"/>
      <c r="G20" s="13"/>
      <c r="H20" s="15" t="str">
        <f t="shared" si="0"/>
        <v/>
      </c>
      <c r="I20" s="13"/>
      <c r="J20" s="13"/>
      <c r="K20" s="16"/>
      <c r="L20" s="17" t="str">
        <f>IF(B20="","",MAX(0,IF(K20="",0,K20)-SUMIF('Usage Log'!$B$4:$B$503,B20,'Usage Log'!$C$4:$C$503)))</f>
        <v/>
      </c>
      <c r="M20" s="18" t="str">
        <f t="shared" si="1"/>
        <v/>
      </c>
      <c r="N20" s="15" t="str">
        <f>IF(B20="","",IF(L20&lt;=0,"consumed",IF(OR(L20&lt;Settings!$B$5,AND(K20&gt;0,L20/K20&lt;Settings!$B$6)),"low","active")))</f>
        <v/>
      </c>
      <c r="O20" s="14"/>
      <c r="P20" s="14"/>
    </row>
    <row r="21" spans="1:16" x14ac:dyDescent="0.45">
      <c r="A21" s="13"/>
      <c r="B21" s="13"/>
      <c r="C21" s="13"/>
      <c r="D21" s="14"/>
      <c r="E21" s="13"/>
      <c r="F21" s="13"/>
      <c r="G21" s="13"/>
      <c r="H21" s="15" t="str">
        <f t="shared" si="0"/>
        <v/>
      </c>
      <c r="I21" s="13"/>
      <c r="J21" s="13"/>
      <c r="K21" s="16"/>
      <c r="L21" s="17" t="str">
        <f>IF(B21="","",MAX(0,IF(K21="",0,K21)-SUMIF('Usage Log'!$B$4:$B$503,B21,'Usage Log'!$C$4:$C$503)))</f>
        <v/>
      </c>
      <c r="M21" s="18" t="str">
        <f t="shared" si="1"/>
        <v/>
      </c>
      <c r="N21" s="15" t="str">
        <f>IF(B21="","",IF(L21&lt;=0,"consumed",IF(OR(L21&lt;Settings!$B$5,AND(K21&gt;0,L21/K21&lt;Settings!$B$6)),"low","active")))</f>
        <v/>
      </c>
      <c r="O21" s="14"/>
      <c r="P21" s="14"/>
    </row>
    <row r="22" spans="1:16" x14ac:dyDescent="0.45">
      <c r="A22" s="13"/>
      <c r="B22" s="13"/>
      <c r="C22" s="13"/>
      <c r="D22" s="14"/>
      <c r="E22" s="13"/>
      <c r="F22" s="13"/>
      <c r="G22" s="13"/>
      <c r="H22" s="15" t="str">
        <f t="shared" si="0"/>
        <v/>
      </c>
      <c r="I22" s="13"/>
      <c r="J22" s="13"/>
      <c r="K22" s="16"/>
      <c r="L22" s="17" t="str">
        <f>IF(B22="","",MAX(0,IF(K22="",0,K22)-SUMIF('Usage Log'!$B$4:$B$503,B22,'Usage Log'!$C$4:$C$503)))</f>
        <v/>
      </c>
      <c r="M22" s="18" t="str">
        <f t="shared" si="1"/>
        <v/>
      </c>
      <c r="N22" s="15" t="str">
        <f>IF(B22="","",IF(L22&lt;=0,"consumed",IF(OR(L22&lt;Settings!$B$5,AND(K22&gt;0,L22/K22&lt;Settings!$B$6)),"low","active")))</f>
        <v/>
      </c>
      <c r="O22" s="14"/>
      <c r="P22" s="14"/>
    </row>
    <row r="23" spans="1:16" x14ac:dyDescent="0.45">
      <c r="A23" s="13"/>
      <c r="B23" s="13"/>
      <c r="C23" s="13"/>
      <c r="D23" s="14"/>
      <c r="E23" s="13"/>
      <c r="F23" s="13"/>
      <c r="G23" s="13"/>
      <c r="H23" s="15" t="str">
        <f t="shared" si="0"/>
        <v/>
      </c>
      <c r="I23" s="13"/>
      <c r="J23" s="13"/>
      <c r="K23" s="16"/>
      <c r="L23" s="17" t="str">
        <f>IF(B23="","",MAX(0,IF(K23="",0,K23)-SUMIF('Usage Log'!$B$4:$B$503,B23,'Usage Log'!$C$4:$C$503)))</f>
        <v/>
      </c>
      <c r="M23" s="18" t="str">
        <f t="shared" si="1"/>
        <v/>
      </c>
      <c r="N23" s="15" t="str">
        <f>IF(B23="","",IF(L23&lt;=0,"consumed",IF(OR(L23&lt;Settings!$B$5,AND(K23&gt;0,L23/K23&lt;Settings!$B$6)),"low","active")))</f>
        <v/>
      </c>
      <c r="O23" s="14"/>
      <c r="P23" s="14"/>
    </row>
    <row r="24" spans="1:16" x14ac:dyDescent="0.45">
      <c r="A24" s="13"/>
      <c r="B24" s="13"/>
      <c r="C24" s="13"/>
      <c r="D24" s="14"/>
      <c r="E24" s="13"/>
      <c r="F24" s="13"/>
      <c r="G24" s="13"/>
      <c r="H24" s="15" t="str">
        <f t="shared" si="0"/>
        <v/>
      </c>
      <c r="I24" s="13"/>
      <c r="J24" s="13"/>
      <c r="K24" s="16"/>
      <c r="L24" s="17" t="str">
        <f>IF(B24="","",MAX(0,IF(K24="",0,K24)-SUMIF('Usage Log'!$B$4:$B$503,B24,'Usage Log'!$C$4:$C$503)))</f>
        <v/>
      </c>
      <c r="M24" s="18" t="str">
        <f t="shared" si="1"/>
        <v/>
      </c>
      <c r="N24" s="15" t="str">
        <f>IF(B24="","",IF(L24&lt;=0,"consumed",IF(OR(L24&lt;Settings!$B$5,AND(K24&gt;0,L24/K24&lt;Settings!$B$6)),"low","active")))</f>
        <v/>
      </c>
      <c r="O24" s="14"/>
      <c r="P24" s="14"/>
    </row>
    <row r="25" spans="1:16" x14ac:dyDescent="0.45">
      <c r="A25" s="13"/>
      <c r="B25" s="13"/>
      <c r="C25" s="13"/>
      <c r="D25" s="14"/>
      <c r="E25" s="13"/>
      <c r="F25" s="13"/>
      <c r="G25" s="13"/>
      <c r="H25" s="15" t="str">
        <f t="shared" si="0"/>
        <v/>
      </c>
      <c r="I25" s="13"/>
      <c r="J25" s="13"/>
      <c r="K25" s="16"/>
      <c r="L25" s="17" t="str">
        <f>IF(B25="","",MAX(0,IF(K25="",0,K25)-SUMIF('Usage Log'!$B$4:$B$503,B25,'Usage Log'!$C$4:$C$503)))</f>
        <v/>
      </c>
      <c r="M25" s="18" t="str">
        <f t="shared" si="1"/>
        <v/>
      </c>
      <c r="N25" s="15" t="str">
        <f>IF(B25="","",IF(L25&lt;=0,"consumed",IF(OR(L25&lt;Settings!$B$5,AND(K25&gt;0,L25/K25&lt;Settings!$B$6)),"low","active")))</f>
        <v/>
      </c>
      <c r="O25" s="14"/>
      <c r="P25" s="14"/>
    </row>
    <row r="26" spans="1:16" x14ac:dyDescent="0.45">
      <c r="A26" s="13"/>
      <c r="B26" s="13"/>
      <c r="C26" s="13"/>
      <c r="D26" s="14"/>
      <c r="E26" s="13"/>
      <c r="F26" s="13"/>
      <c r="G26" s="13"/>
      <c r="H26" s="15" t="str">
        <f t="shared" si="0"/>
        <v/>
      </c>
      <c r="I26" s="13"/>
      <c r="J26" s="13"/>
      <c r="K26" s="16"/>
      <c r="L26" s="17" t="str">
        <f>IF(B26="","",MAX(0,IF(K26="",0,K26)-SUMIF('Usage Log'!$B$4:$B$503,B26,'Usage Log'!$C$4:$C$503)))</f>
        <v/>
      </c>
      <c r="M26" s="18" t="str">
        <f t="shared" si="1"/>
        <v/>
      </c>
      <c r="N26" s="15" t="str">
        <f>IF(B26="","",IF(L26&lt;=0,"consumed",IF(OR(L26&lt;Settings!$B$5,AND(K26&gt;0,L26/K26&lt;Settings!$B$6)),"low","active")))</f>
        <v/>
      </c>
      <c r="O26" s="14"/>
      <c r="P26" s="14"/>
    </row>
    <row r="27" spans="1:16" x14ac:dyDescent="0.45">
      <c r="A27" s="13"/>
      <c r="B27" s="13"/>
      <c r="C27" s="13"/>
      <c r="D27" s="14"/>
      <c r="E27" s="13"/>
      <c r="F27" s="13"/>
      <c r="G27" s="13"/>
      <c r="H27" s="15" t="str">
        <f t="shared" si="0"/>
        <v/>
      </c>
      <c r="I27" s="13"/>
      <c r="J27" s="13"/>
      <c r="K27" s="16"/>
      <c r="L27" s="17" t="str">
        <f>IF(B27="","",MAX(0,IF(K27="",0,K27)-SUMIF('Usage Log'!$B$4:$B$503,B27,'Usage Log'!$C$4:$C$503)))</f>
        <v/>
      </c>
      <c r="M27" s="18" t="str">
        <f t="shared" si="1"/>
        <v/>
      </c>
      <c r="N27" s="15" t="str">
        <f>IF(B27="","",IF(L27&lt;=0,"consumed",IF(OR(L27&lt;Settings!$B$5,AND(K27&gt;0,L27/K27&lt;Settings!$B$6)),"low","active")))</f>
        <v/>
      </c>
      <c r="O27" s="14"/>
      <c r="P27" s="14"/>
    </row>
    <row r="28" spans="1:16" x14ac:dyDescent="0.45">
      <c r="A28" s="13"/>
      <c r="B28" s="13"/>
      <c r="C28" s="13"/>
      <c r="D28" s="14"/>
      <c r="E28" s="13"/>
      <c r="F28" s="13"/>
      <c r="G28" s="13"/>
      <c r="H28" s="15" t="str">
        <f t="shared" si="0"/>
        <v/>
      </c>
      <c r="I28" s="13"/>
      <c r="J28" s="13"/>
      <c r="K28" s="16"/>
      <c r="L28" s="17" t="str">
        <f>IF(B28="","",MAX(0,IF(K28="",0,K28)-SUMIF('Usage Log'!$B$4:$B$503,B28,'Usage Log'!$C$4:$C$503)))</f>
        <v/>
      </c>
      <c r="M28" s="18" t="str">
        <f t="shared" si="1"/>
        <v/>
      </c>
      <c r="N28" s="15" t="str">
        <f>IF(B28="","",IF(L28&lt;=0,"consumed",IF(OR(L28&lt;Settings!$B$5,AND(K28&gt;0,L28/K28&lt;Settings!$B$6)),"low","active")))</f>
        <v/>
      </c>
      <c r="O28" s="14"/>
      <c r="P28" s="14"/>
    </row>
    <row r="29" spans="1:16" x14ac:dyDescent="0.45">
      <c r="A29" s="13"/>
      <c r="B29" s="13"/>
      <c r="C29" s="13"/>
      <c r="D29" s="14"/>
      <c r="E29" s="13"/>
      <c r="F29" s="13"/>
      <c r="G29" s="13"/>
      <c r="H29" s="15" t="str">
        <f t="shared" si="0"/>
        <v/>
      </c>
      <c r="I29" s="13"/>
      <c r="J29" s="13"/>
      <c r="K29" s="16"/>
      <c r="L29" s="17" t="str">
        <f>IF(B29="","",MAX(0,IF(K29="",0,K29)-SUMIF('Usage Log'!$B$4:$B$503,B29,'Usage Log'!$C$4:$C$503)))</f>
        <v/>
      </c>
      <c r="M29" s="18" t="str">
        <f t="shared" si="1"/>
        <v/>
      </c>
      <c r="N29" s="15" t="str">
        <f>IF(B29="","",IF(L29&lt;=0,"consumed",IF(OR(L29&lt;Settings!$B$5,AND(K29&gt;0,L29/K29&lt;Settings!$B$6)),"low","active")))</f>
        <v/>
      </c>
      <c r="O29" s="14"/>
      <c r="P29" s="14"/>
    </row>
    <row r="30" spans="1:16" x14ac:dyDescent="0.45">
      <c r="A30" s="13"/>
      <c r="B30" s="13"/>
      <c r="C30" s="13"/>
      <c r="D30" s="14"/>
      <c r="E30" s="13"/>
      <c r="F30" s="13"/>
      <c r="G30" s="13"/>
      <c r="H30" s="15" t="str">
        <f t="shared" si="0"/>
        <v/>
      </c>
      <c r="I30" s="13"/>
      <c r="J30" s="13"/>
      <c r="K30" s="16"/>
      <c r="L30" s="17" t="str">
        <f>IF(B30="","",MAX(0,IF(K30="",0,K30)-SUMIF('Usage Log'!$B$4:$B$503,B30,'Usage Log'!$C$4:$C$503)))</f>
        <v/>
      </c>
      <c r="M30" s="18" t="str">
        <f t="shared" si="1"/>
        <v/>
      </c>
      <c r="N30" s="15" t="str">
        <f>IF(B30="","",IF(L30&lt;=0,"consumed",IF(OR(L30&lt;Settings!$B$5,AND(K30&gt;0,L30/K30&lt;Settings!$B$6)),"low","active")))</f>
        <v/>
      </c>
      <c r="O30" s="14"/>
      <c r="P30" s="14"/>
    </row>
    <row r="31" spans="1:16" x14ac:dyDescent="0.45">
      <c r="A31" s="13"/>
      <c r="B31" s="13"/>
      <c r="C31" s="13"/>
      <c r="D31" s="14"/>
      <c r="E31" s="13"/>
      <c r="F31" s="13"/>
      <c r="G31" s="13"/>
      <c r="H31" s="15" t="str">
        <f t="shared" si="0"/>
        <v/>
      </c>
      <c r="I31" s="13"/>
      <c r="J31" s="13"/>
      <c r="K31" s="16"/>
      <c r="L31" s="17" t="str">
        <f>IF(B31="","",MAX(0,IF(K31="",0,K31)-SUMIF('Usage Log'!$B$4:$B$503,B31,'Usage Log'!$C$4:$C$503)))</f>
        <v/>
      </c>
      <c r="M31" s="18" t="str">
        <f t="shared" si="1"/>
        <v/>
      </c>
      <c r="N31" s="15" t="str">
        <f>IF(B31="","",IF(L31&lt;=0,"consumed",IF(OR(L31&lt;Settings!$B$5,AND(K31&gt;0,L31/K31&lt;Settings!$B$6)),"low","active")))</f>
        <v/>
      </c>
      <c r="O31" s="14"/>
      <c r="P31" s="14"/>
    </row>
    <row r="32" spans="1:16" x14ac:dyDescent="0.45">
      <c r="A32" s="13"/>
      <c r="B32" s="13"/>
      <c r="C32" s="13"/>
      <c r="D32" s="14"/>
      <c r="E32" s="13"/>
      <c r="F32" s="13"/>
      <c r="G32" s="13"/>
      <c r="H32" s="15" t="str">
        <f t="shared" si="0"/>
        <v/>
      </c>
      <c r="I32" s="13"/>
      <c r="J32" s="13"/>
      <c r="K32" s="16"/>
      <c r="L32" s="17" t="str">
        <f>IF(B32="","",MAX(0,IF(K32="",0,K32)-SUMIF('Usage Log'!$B$4:$B$503,B32,'Usage Log'!$C$4:$C$503)))</f>
        <v/>
      </c>
      <c r="M32" s="18" t="str">
        <f t="shared" si="1"/>
        <v/>
      </c>
      <c r="N32" s="15" t="str">
        <f>IF(B32="","",IF(L32&lt;=0,"consumed",IF(OR(L32&lt;Settings!$B$5,AND(K32&gt;0,L32/K32&lt;Settings!$B$6)),"low","active")))</f>
        <v/>
      </c>
      <c r="O32" s="14"/>
      <c r="P32" s="14"/>
    </row>
    <row r="33" spans="1:16" x14ac:dyDescent="0.45">
      <c r="A33" s="13"/>
      <c r="B33" s="13"/>
      <c r="C33" s="13"/>
      <c r="D33" s="14"/>
      <c r="E33" s="13"/>
      <c r="F33" s="13"/>
      <c r="G33" s="13"/>
      <c r="H33" s="15" t="str">
        <f t="shared" si="0"/>
        <v/>
      </c>
      <c r="I33" s="13"/>
      <c r="J33" s="13"/>
      <c r="K33" s="16"/>
      <c r="L33" s="17" t="str">
        <f>IF(B33="","",MAX(0,IF(K33="",0,K33)-SUMIF('Usage Log'!$B$4:$B$503,B33,'Usage Log'!$C$4:$C$503)))</f>
        <v/>
      </c>
      <c r="M33" s="18" t="str">
        <f t="shared" si="1"/>
        <v/>
      </c>
      <c r="N33" s="15" t="str">
        <f>IF(B33="","",IF(L33&lt;=0,"consumed",IF(OR(L33&lt;Settings!$B$5,AND(K33&gt;0,L33/K33&lt;Settings!$B$6)),"low","active")))</f>
        <v/>
      </c>
      <c r="O33" s="14"/>
      <c r="P33" s="14"/>
    </row>
    <row r="34" spans="1:16" x14ac:dyDescent="0.45">
      <c r="A34" s="13"/>
      <c r="B34" s="13"/>
      <c r="C34" s="13"/>
      <c r="D34" s="14"/>
      <c r="E34" s="13"/>
      <c r="F34" s="13"/>
      <c r="G34" s="13"/>
      <c r="H34" s="15" t="str">
        <f t="shared" si="0"/>
        <v/>
      </c>
      <c r="I34" s="13"/>
      <c r="J34" s="13"/>
      <c r="K34" s="16"/>
      <c r="L34" s="17" t="str">
        <f>IF(B34="","",MAX(0,IF(K34="",0,K34)-SUMIF('Usage Log'!$B$4:$B$503,B34,'Usage Log'!$C$4:$C$503)))</f>
        <v/>
      </c>
      <c r="M34" s="18" t="str">
        <f t="shared" si="1"/>
        <v/>
      </c>
      <c r="N34" s="15" t="str">
        <f>IF(B34="","",IF(L34&lt;=0,"consumed",IF(OR(L34&lt;Settings!$B$5,AND(K34&gt;0,L34/K34&lt;Settings!$B$6)),"low","active")))</f>
        <v/>
      </c>
      <c r="O34" s="14"/>
      <c r="P34" s="14"/>
    </row>
    <row r="35" spans="1:16" x14ac:dyDescent="0.45">
      <c r="A35" s="13"/>
      <c r="B35" s="13"/>
      <c r="C35" s="13"/>
      <c r="D35" s="14"/>
      <c r="E35" s="13"/>
      <c r="F35" s="13"/>
      <c r="G35" s="13"/>
      <c r="H35" s="15" t="str">
        <f t="shared" si="0"/>
        <v/>
      </c>
      <c r="I35" s="13"/>
      <c r="J35" s="13"/>
      <c r="K35" s="16"/>
      <c r="L35" s="17" t="str">
        <f>IF(B35="","",MAX(0,IF(K35="",0,K35)-SUMIF('Usage Log'!$B$4:$B$503,B35,'Usage Log'!$C$4:$C$503)))</f>
        <v/>
      </c>
      <c r="M35" s="18" t="str">
        <f t="shared" si="1"/>
        <v/>
      </c>
      <c r="N35" s="15" t="str">
        <f>IF(B35="","",IF(L35&lt;=0,"consumed",IF(OR(L35&lt;Settings!$B$5,AND(K35&gt;0,L35/K35&lt;Settings!$B$6)),"low","active")))</f>
        <v/>
      </c>
      <c r="O35" s="14"/>
      <c r="P35" s="14"/>
    </row>
    <row r="36" spans="1:16" x14ac:dyDescent="0.45">
      <c r="A36" s="13"/>
      <c r="B36" s="13"/>
      <c r="C36" s="13"/>
      <c r="D36" s="14"/>
      <c r="E36" s="13"/>
      <c r="F36" s="13"/>
      <c r="G36" s="13"/>
      <c r="H36" s="15" t="str">
        <f t="shared" ref="H36:H67" si="2">IF(G36="","",ROUND(G36/25.4,3))</f>
        <v/>
      </c>
      <c r="I36" s="13"/>
      <c r="J36" s="13"/>
      <c r="K36" s="16"/>
      <c r="L36" s="17" t="str">
        <f>IF(B36="","",MAX(0,IF(K36="",0,K36)-SUMIF('Usage Log'!$B$4:$B$503,B36,'Usage Log'!$C$4:$C$503)))</f>
        <v/>
      </c>
      <c r="M36" s="18" t="str">
        <f t="shared" ref="M36:M67" si="3">IF(B36="","",IF(K36="",0,K36)-L36)</f>
        <v/>
      </c>
      <c r="N36" s="15" t="str">
        <f>IF(B36="","",IF(L36&lt;=0,"consumed",IF(OR(L36&lt;Settings!$B$5,AND(K36&gt;0,L36/K36&lt;Settings!$B$6)),"low","active")))</f>
        <v/>
      </c>
      <c r="O36" s="14"/>
      <c r="P36" s="14"/>
    </row>
    <row r="37" spans="1:16" x14ac:dyDescent="0.45">
      <c r="A37" s="13"/>
      <c r="B37" s="13"/>
      <c r="C37" s="13"/>
      <c r="D37" s="14"/>
      <c r="E37" s="13"/>
      <c r="F37" s="13"/>
      <c r="G37" s="13"/>
      <c r="H37" s="15" t="str">
        <f t="shared" si="2"/>
        <v/>
      </c>
      <c r="I37" s="13"/>
      <c r="J37" s="13"/>
      <c r="K37" s="16"/>
      <c r="L37" s="17" t="str">
        <f>IF(B37="","",MAX(0,IF(K37="",0,K37)-SUMIF('Usage Log'!$B$4:$B$503,B37,'Usage Log'!$C$4:$C$503)))</f>
        <v/>
      </c>
      <c r="M37" s="18" t="str">
        <f t="shared" si="3"/>
        <v/>
      </c>
      <c r="N37" s="15" t="str">
        <f>IF(B37="","",IF(L37&lt;=0,"consumed",IF(OR(L37&lt;Settings!$B$5,AND(K37&gt;0,L37/K37&lt;Settings!$B$6)),"low","active")))</f>
        <v/>
      </c>
      <c r="O37" s="14"/>
      <c r="P37" s="14"/>
    </row>
    <row r="38" spans="1:16" x14ac:dyDescent="0.45">
      <c r="A38" s="13"/>
      <c r="B38" s="13"/>
      <c r="C38" s="13"/>
      <c r="D38" s="14"/>
      <c r="E38" s="13"/>
      <c r="F38" s="13"/>
      <c r="G38" s="13"/>
      <c r="H38" s="15" t="str">
        <f t="shared" si="2"/>
        <v/>
      </c>
      <c r="I38" s="13"/>
      <c r="J38" s="13"/>
      <c r="K38" s="16"/>
      <c r="L38" s="17" t="str">
        <f>IF(B38="","",MAX(0,IF(K38="",0,K38)-SUMIF('Usage Log'!$B$4:$B$503,B38,'Usage Log'!$C$4:$C$503)))</f>
        <v/>
      </c>
      <c r="M38" s="18" t="str">
        <f t="shared" si="3"/>
        <v/>
      </c>
      <c r="N38" s="15" t="str">
        <f>IF(B38="","",IF(L38&lt;=0,"consumed",IF(OR(L38&lt;Settings!$B$5,AND(K38&gt;0,L38/K38&lt;Settings!$B$6)),"low","active")))</f>
        <v/>
      </c>
      <c r="O38" s="14"/>
      <c r="P38" s="14"/>
    </row>
    <row r="39" spans="1:16" x14ac:dyDescent="0.45">
      <c r="A39" s="13"/>
      <c r="B39" s="13"/>
      <c r="C39" s="13"/>
      <c r="D39" s="14"/>
      <c r="E39" s="13"/>
      <c r="F39" s="13"/>
      <c r="G39" s="13"/>
      <c r="H39" s="15" t="str">
        <f t="shared" si="2"/>
        <v/>
      </c>
      <c r="I39" s="13"/>
      <c r="J39" s="13"/>
      <c r="K39" s="16"/>
      <c r="L39" s="17" t="str">
        <f>IF(B39="","",MAX(0,IF(K39="",0,K39)-SUMIF('Usage Log'!$B$4:$B$503,B39,'Usage Log'!$C$4:$C$503)))</f>
        <v/>
      </c>
      <c r="M39" s="18" t="str">
        <f t="shared" si="3"/>
        <v/>
      </c>
      <c r="N39" s="15" t="str">
        <f>IF(B39="","",IF(L39&lt;=0,"consumed",IF(OR(L39&lt;Settings!$B$5,AND(K39&gt;0,L39/K39&lt;Settings!$B$6)),"low","active")))</f>
        <v/>
      </c>
      <c r="O39" s="14"/>
      <c r="P39" s="14"/>
    </row>
    <row r="40" spans="1:16" x14ac:dyDescent="0.45">
      <c r="A40" s="13"/>
      <c r="B40" s="13"/>
      <c r="C40" s="13"/>
      <c r="D40" s="14"/>
      <c r="E40" s="13"/>
      <c r="F40" s="13"/>
      <c r="G40" s="13"/>
      <c r="H40" s="15" t="str">
        <f t="shared" si="2"/>
        <v/>
      </c>
      <c r="I40" s="13"/>
      <c r="J40" s="13"/>
      <c r="K40" s="16"/>
      <c r="L40" s="17" t="str">
        <f>IF(B40="","",MAX(0,IF(K40="",0,K40)-SUMIF('Usage Log'!$B$4:$B$503,B40,'Usage Log'!$C$4:$C$503)))</f>
        <v/>
      </c>
      <c r="M40" s="18" t="str">
        <f t="shared" si="3"/>
        <v/>
      </c>
      <c r="N40" s="15" t="str">
        <f>IF(B40="","",IF(L40&lt;=0,"consumed",IF(OR(L40&lt;Settings!$B$5,AND(K40&gt;0,L40/K40&lt;Settings!$B$6)),"low","active")))</f>
        <v/>
      </c>
      <c r="O40" s="14"/>
      <c r="P40" s="14"/>
    </row>
    <row r="41" spans="1:16" x14ac:dyDescent="0.45">
      <c r="A41" s="13"/>
      <c r="B41" s="13"/>
      <c r="C41" s="13"/>
      <c r="D41" s="14"/>
      <c r="E41" s="13"/>
      <c r="F41" s="13"/>
      <c r="G41" s="13"/>
      <c r="H41" s="15" t="str">
        <f t="shared" si="2"/>
        <v/>
      </c>
      <c r="I41" s="13"/>
      <c r="J41" s="13"/>
      <c r="K41" s="16"/>
      <c r="L41" s="17" t="str">
        <f>IF(B41="","",MAX(0,IF(K41="",0,K41)-SUMIF('Usage Log'!$B$4:$B$503,B41,'Usage Log'!$C$4:$C$503)))</f>
        <v/>
      </c>
      <c r="M41" s="18" t="str">
        <f t="shared" si="3"/>
        <v/>
      </c>
      <c r="N41" s="15" t="str">
        <f>IF(B41="","",IF(L41&lt;=0,"consumed",IF(OR(L41&lt;Settings!$B$5,AND(K41&gt;0,L41/K41&lt;Settings!$B$6)),"low","active")))</f>
        <v/>
      </c>
      <c r="O41" s="14"/>
      <c r="P41" s="14"/>
    </row>
    <row r="42" spans="1:16" x14ac:dyDescent="0.45">
      <c r="A42" s="13"/>
      <c r="B42" s="13"/>
      <c r="C42" s="13"/>
      <c r="D42" s="14"/>
      <c r="E42" s="13"/>
      <c r="F42" s="13"/>
      <c r="G42" s="13"/>
      <c r="H42" s="15" t="str">
        <f t="shared" si="2"/>
        <v/>
      </c>
      <c r="I42" s="13"/>
      <c r="J42" s="13"/>
      <c r="K42" s="16"/>
      <c r="L42" s="17" t="str">
        <f>IF(B42="","",MAX(0,IF(K42="",0,K42)-SUMIF('Usage Log'!$B$4:$B$503,B42,'Usage Log'!$C$4:$C$503)))</f>
        <v/>
      </c>
      <c r="M42" s="18" t="str">
        <f t="shared" si="3"/>
        <v/>
      </c>
      <c r="N42" s="15" t="str">
        <f>IF(B42="","",IF(L42&lt;=0,"consumed",IF(OR(L42&lt;Settings!$B$5,AND(K42&gt;0,L42/K42&lt;Settings!$B$6)),"low","active")))</f>
        <v/>
      </c>
      <c r="O42" s="14"/>
      <c r="P42" s="14"/>
    </row>
    <row r="43" spans="1:16" x14ac:dyDescent="0.45">
      <c r="A43" s="13"/>
      <c r="B43" s="13"/>
      <c r="C43" s="13"/>
      <c r="D43" s="14"/>
      <c r="E43" s="13"/>
      <c r="F43" s="13"/>
      <c r="G43" s="13"/>
      <c r="H43" s="15" t="str">
        <f t="shared" si="2"/>
        <v/>
      </c>
      <c r="I43" s="13"/>
      <c r="J43" s="13"/>
      <c r="K43" s="16"/>
      <c r="L43" s="17" t="str">
        <f>IF(B43="","",MAX(0,IF(K43="",0,K43)-SUMIF('Usage Log'!$B$4:$B$503,B43,'Usage Log'!$C$4:$C$503)))</f>
        <v/>
      </c>
      <c r="M43" s="18" t="str">
        <f t="shared" si="3"/>
        <v/>
      </c>
      <c r="N43" s="15" t="str">
        <f>IF(B43="","",IF(L43&lt;=0,"consumed",IF(OR(L43&lt;Settings!$B$5,AND(K43&gt;0,L43/K43&lt;Settings!$B$6)),"low","active")))</f>
        <v/>
      </c>
      <c r="O43" s="14"/>
      <c r="P43" s="14"/>
    </row>
    <row r="44" spans="1:16" x14ac:dyDescent="0.45">
      <c r="A44" s="13"/>
      <c r="B44" s="13"/>
      <c r="C44" s="13"/>
      <c r="D44" s="14"/>
      <c r="E44" s="13"/>
      <c r="F44" s="13"/>
      <c r="G44" s="13"/>
      <c r="H44" s="15" t="str">
        <f t="shared" si="2"/>
        <v/>
      </c>
      <c r="I44" s="13"/>
      <c r="J44" s="13"/>
      <c r="K44" s="16"/>
      <c r="L44" s="17" t="str">
        <f>IF(B44="","",MAX(0,IF(K44="",0,K44)-SUMIF('Usage Log'!$B$4:$B$503,B44,'Usage Log'!$C$4:$C$503)))</f>
        <v/>
      </c>
      <c r="M44" s="18" t="str">
        <f t="shared" si="3"/>
        <v/>
      </c>
      <c r="N44" s="15" t="str">
        <f>IF(B44="","",IF(L44&lt;=0,"consumed",IF(OR(L44&lt;Settings!$B$5,AND(K44&gt;0,L44/K44&lt;Settings!$B$6)),"low","active")))</f>
        <v/>
      </c>
      <c r="O44" s="14"/>
      <c r="P44" s="14"/>
    </row>
    <row r="45" spans="1:16" x14ac:dyDescent="0.45">
      <c r="A45" s="13"/>
      <c r="B45" s="13"/>
      <c r="C45" s="13"/>
      <c r="D45" s="14"/>
      <c r="E45" s="13"/>
      <c r="F45" s="13"/>
      <c r="G45" s="13"/>
      <c r="H45" s="15" t="str">
        <f t="shared" si="2"/>
        <v/>
      </c>
      <c r="I45" s="13"/>
      <c r="J45" s="13"/>
      <c r="K45" s="16"/>
      <c r="L45" s="17" t="str">
        <f>IF(B45="","",MAX(0,IF(K45="",0,K45)-SUMIF('Usage Log'!$B$4:$B$503,B45,'Usage Log'!$C$4:$C$503)))</f>
        <v/>
      </c>
      <c r="M45" s="18" t="str">
        <f t="shared" si="3"/>
        <v/>
      </c>
      <c r="N45" s="15" t="str">
        <f>IF(B45="","",IF(L45&lt;=0,"consumed",IF(OR(L45&lt;Settings!$B$5,AND(K45&gt;0,L45/K45&lt;Settings!$B$6)),"low","active")))</f>
        <v/>
      </c>
      <c r="O45" s="14"/>
      <c r="P45" s="14"/>
    </row>
    <row r="46" spans="1:16" x14ac:dyDescent="0.45">
      <c r="A46" s="13"/>
      <c r="B46" s="13"/>
      <c r="C46" s="13"/>
      <c r="D46" s="14"/>
      <c r="E46" s="13"/>
      <c r="F46" s="13"/>
      <c r="G46" s="13"/>
      <c r="H46" s="15" t="str">
        <f t="shared" si="2"/>
        <v/>
      </c>
      <c r="I46" s="13"/>
      <c r="J46" s="13"/>
      <c r="K46" s="16"/>
      <c r="L46" s="17" t="str">
        <f>IF(B46="","",MAX(0,IF(K46="",0,K46)-SUMIF('Usage Log'!$B$4:$B$503,B46,'Usage Log'!$C$4:$C$503)))</f>
        <v/>
      </c>
      <c r="M46" s="18" t="str">
        <f t="shared" si="3"/>
        <v/>
      </c>
      <c r="N46" s="15" t="str">
        <f>IF(B46="","",IF(L46&lt;=0,"consumed",IF(OR(L46&lt;Settings!$B$5,AND(K46&gt;0,L46/K46&lt;Settings!$B$6)),"low","active")))</f>
        <v/>
      </c>
      <c r="O46" s="14"/>
      <c r="P46" s="14"/>
    </row>
    <row r="47" spans="1:16" x14ac:dyDescent="0.45">
      <c r="A47" s="13"/>
      <c r="B47" s="13"/>
      <c r="C47" s="13"/>
      <c r="D47" s="14"/>
      <c r="E47" s="13"/>
      <c r="F47" s="13"/>
      <c r="G47" s="13"/>
      <c r="H47" s="15" t="str">
        <f t="shared" si="2"/>
        <v/>
      </c>
      <c r="I47" s="13"/>
      <c r="J47" s="13"/>
      <c r="K47" s="16"/>
      <c r="L47" s="17" t="str">
        <f>IF(B47="","",MAX(0,IF(K47="",0,K47)-SUMIF('Usage Log'!$B$4:$B$503,B47,'Usage Log'!$C$4:$C$503)))</f>
        <v/>
      </c>
      <c r="M47" s="18" t="str">
        <f t="shared" si="3"/>
        <v/>
      </c>
      <c r="N47" s="15" t="str">
        <f>IF(B47="","",IF(L47&lt;=0,"consumed",IF(OR(L47&lt;Settings!$B$5,AND(K47&gt;0,L47/K47&lt;Settings!$B$6)),"low","active")))</f>
        <v/>
      </c>
      <c r="O47" s="14"/>
      <c r="P47" s="14"/>
    </row>
    <row r="48" spans="1:16" x14ac:dyDescent="0.45">
      <c r="A48" s="13"/>
      <c r="B48" s="13"/>
      <c r="C48" s="13"/>
      <c r="D48" s="14"/>
      <c r="E48" s="13"/>
      <c r="F48" s="13"/>
      <c r="G48" s="13"/>
      <c r="H48" s="15" t="str">
        <f t="shared" si="2"/>
        <v/>
      </c>
      <c r="I48" s="13"/>
      <c r="J48" s="13"/>
      <c r="K48" s="16"/>
      <c r="L48" s="17" t="str">
        <f>IF(B48="","",MAX(0,IF(K48="",0,K48)-SUMIF('Usage Log'!$B$4:$B$503,B48,'Usage Log'!$C$4:$C$503)))</f>
        <v/>
      </c>
      <c r="M48" s="18" t="str">
        <f t="shared" si="3"/>
        <v/>
      </c>
      <c r="N48" s="15" t="str">
        <f>IF(B48="","",IF(L48&lt;=0,"consumed",IF(OR(L48&lt;Settings!$B$5,AND(K48&gt;0,L48/K48&lt;Settings!$B$6)),"low","active")))</f>
        <v/>
      </c>
      <c r="O48" s="14"/>
      <c r="P48" s="14"/>
    </row>
    <row r="49" spans="1:16" x14ac:dyDescent="0.45">
      <c r="A49" s="13"/>
      <c r="B49" s="13"/>
      <c r="C49" s="13"/>
      <c r="D49" s="14"/>
      <c r="E49" s="13"/>
      <c r="F49" s="13"/>
      <c r="G49" s="13"/>
      <c r="H49" s="15" t="str">
        <f t="shared" si="2"/>
        <v/>
      </c>
      <c r="I49" s="13"/>
      <c r="J49" s="13"/>
      <c r="K49" s="16"/>
      <c r="L49" s="17" t="str">
        <f>IF(B49="","",MAX(0,IF(K49="",0,K49)-SUMIF('Usage Log'!$B$4:$B$503,B49,'Usage Log'!$C$4:$C$503)))</f>
        <v/>
      </c>
      <c r="M49" s="18" t="str">
        <f t="shared" si="3"/>
        <v/>
      </c>
      <c r="N49" s="15" t="str">
        <f>IF(B49="","",IF(L49&lt;=0,"consumed",IF(OR(L49&lt;Settings!$B$5,AND(K49&gt;0,L49/K49&lt;Settings!$B$6)),"low","active")))</f>
        <v/>
      </c>
      <c r="O49" s="14"/>
      <c r="P49" s="14"/>
    </row>
    <row r="50" spans="1:16" x14ac:dyDescent="0.45">
      <c r="A50" s="13"/>
      <c r="B50" s="13"/>
      <c r="C50" s="13"/>
      <c r="D50" s="14"/>
      <c r="E50" s="13"/>
      <c r="F50" s="13"/>
      <c r="G50" s="13"/>
      <c r="H50" s="15" t="str">
        <f t="shared" si="2"/>
        <v/>
      </c>
      <c r="I50" s="13"/>
      <c r="J50" s="13"/>
      <c r="K50" s="16"/>
      <c r="L50" s="17" t="str">
        <f>IF(B50="","",MAX(0,IF(K50="",0,K50)-SUMIF('Usage Log'!$B$4:$B$503,B50,'Usage Log'!$C$4:$C$503)))</f>
        <v/>
      </c>
      <c r="M50" s="18" t="str">
        <f t="shared" si="3"/>
        <v/>
      </c>
      <c r="N50" s="15" t="str">
        <f>IF(B50="","",IF(L50&lt;=0,"consumed",IF(OR(L50&lt;Settings!$B$5,AND(K50&gt;0,L50/K50&lt;Settings!$B$6)),"low","active")))</f>
        <v/>
      </c>
      <c r="O50" s="14"/>
      <c r="P50" s="14"/>
    </row>
    <row r="51" spans="1:16" x14ac:dyDescent="0.45">
      <c r="A51" s="13"/>
      <c r="B51" s="13"/>
      <c r="C51" s="13"/>
      <c r="D51" s="14"/>
      <c r="E51" s="13"/>
      <c r="F51" s="13"/>
      <c r="G51" s="13"/>
      <c r="H51" s="15" t="str">
        <f t="shared" si="2"/>
        <v/>
      </c>
      <c r="I51" s="13"/>
      <c r="J51" s="13"/>
      <c r="K51" s="16"/>
      <c r="L51" s="17" t="str">
        <f>IF(B51="","",MAX(0,IF(K51="",0,K51)-SUMIF('Usage Log'!$B$4:$B$503,B51,'Usage Log'!$C$4:$C$503)))</f>
        <v/>
      </c>
      <c r="M51" s="18" t="str">
        <f t="shared" si="3"/>
        <v/>
      </c>
      <c r="N51" s="15" t="str">
        <f>IF(B51="","",IF(L51&lt;=0,"consumed",IF(OR(L51&lt;Settings!$B$5,AND(K51&gt;0,L51/K51&lt;Settings!$B$6)),"low","active")))</f>
        <v/>
      </c>
      <c r="O51" s="14"/>
      <c r="P51" s="14"/>
    </row>
    <row r="52" spans="1:16" x14ac:dyDescent="0.45">
      <c r="A52" s="13"/>
      <c r="B52" s="13"/>
      <c r="C52" s="13"/>
      <c r="D52" s="14"/>
      <c r="E52" s="13"/>
      <c r="F52" s="13"/>
      <c r="G52" s="13"/>
      <c r="H52" s="15" t="str">
        <f t="shared" si="2"/>
        <v/>
      </c>
      <c r="I52" s="13"/>
      <c r="J52" s="13"/>
      <c r="K52" s="16"/>
      <c r="L52" s="17" t="str">
        <f>IF(B52="","",MAX(0,IF(K52="",0,K52)-SUMIF('Usage Log'!$B$4:$B$503,B52,'Usage Log'!$C$4:$C$503)))</f>
        <v/>
      </c>
      <c r="M52" s="18" t="str">
        <f t="shared" si="3"/>
        <v/>
      </c>
      <c r="N52" s="15" t="str">
        <f>IF(B52="","",IF(L52&lt;=0,"consumed",IF(OR(L52&lt;Settings!$B$5,AND(K52&gt;0,L52/K52&lt;Settings!$B$6)),"low","active")))</f>
        <v/>
      </c>
      <c r="O52" s="14"/>
      <c r="P52" s="14"/>
    </row>
    <row r="53" spans="1:16" x14ac:dyDescent="0.45">
      <c r="A53" s="13"/>
      <c r="B53" s="13"/>
      <c r="C53" s="13"/>
      <c r="D53" s="14"/>
      <c r="E53" s="13"/>
      <c r="F53" s="13"/>
      <c r="G53" s="13"/>
      <c r="H53" s="15" t="str">
        <f t="shared" si="2"/>
        <v/>
      </c>
      <c r="I53" s="13"/>
      <c r="J53" s="13"/>
      <c r="K53" s="16"/>
      <c r="L53" s="17" t="str">
        <f>IF(B53="","",MAX(0,IF(K53="",0,K53)-SUMIF('Usage Log'!$B$4:$B$503,B53,'Usage Log'!$C$4:$C$503)))</f>
        <v/>
      </c>
      <c r="M53" s="18" t="str">
        <f t="shared" si="3"/>
        <v/>
      </c>
      <c r="N53" s="15" t="str">
        <f>IF(B53="","",IF(L53&lt;=0,"consumed",IF(OR(L53&lt;Settings!$B$5,AND(K53&gt;0,L53/K53&lt;Settings!$B$6)),"low","active")))</f>
        <v/>
      </c>
      <c r="O53" s="14"/>
      <c r="P53" s="14"/>
    </row>
    <row r="54" spans="1:16" x14ac:dyDescent="0.45">
      <c r="A54" s="13"/>
      <c r="B54" s="13"/>
      <c r="C54" s="13"/>
      <c r="D54" s="14"/>
      <c r="E54" s="13"/>
      <c r="F54" s="13"/>
      <c r="G54" s="13"/>
      <c r="H54" s="15" t="str">
        <f t="shared" si="2"/>
        <v/>
      </c>
      <c r="I54" s="13"/>
      <c r="J54" s="13"/>
      <c r="K54" s="16"/>
      <c r="L54" s="17" t="str">
        <f>IF(B54="","",MAX(0,IF(K54="",0,K54)-SUMIF('Usage Log'!$B$4:$B$503,B54,'Usage Log'!$C$4:$C$503)))</f>
        <v/>
      </c>
      <c r="M54" s="18" t="str">
        <f t="shared" si="3"/>
        <v/>
      </c>
      <c r="N54" s="15" t="str">
        <f>IF(B54="","",IF(L54&lt;=0,"consumed",IF(OR(L54&lt;Settings!$B$5,AND(K54&gt;0,L54/K54&lt;Settings!$B$6)),"low","active")))</f>
        <v/>
      </c>
      <c r="O54" s="14"/>
      <c r="P54" s="14"/>
    </row>
    <row r="55" spans="1:16" x14ac:dyDescent="0.45">
      <c r="A55" s="13"/>
      <c r="B55" s="13"/>
      <c r="C55" s="13"/>
      <c r="D55" s="14"/>
      <c r="E55" s="13"/>
      <c r="F55" s="13"/>
      <c r="G55" s="13"/>
      <c r="H55" s="15" t="str">
        <f t="shared" si="2"/>
        <v/>
      </c>
      <c r="I55" s="13"/>
      <c r="J55" s="13"/>
      <c r="K55" s="16"/>
      <c r="L55" s="17" t="str">
        <f>IF(B55="","",MAX(0,IF(K55="",0,K55)-SUMIF('Usage Log'!$B$4:$B$503,B55,'Usage Log'!$C$4:$C$503)))</f>
        <v/>
      </c>
      <c r="M55" s="18" t="str">
        <f t="shared" si="3"/>
        <v/>
      </c>
      <c r="N55" s="15" t="str">
        <f>IF(B55="","",IF(L55&lt;=0,"consumed",IF(OR(L55&lt;Settings!$B$5,AND(K55&gt;0,L55/K55&lt;Settings!$B$6)),"low","active")))</f>
        <v/>
      </c>
      <c r="O55" s="14"/>
      <c r="P55" s="14"/>
    </row>
    <row r="56" spans="1:16" x14ac:dyDescent="0.45">
      <c r="A56" s="13"/>
      <c r="B56" s="13"/>
      <c r="C56" s="13"/>
      <c r="D56" s="14"/>
      <c r="E56" s="13"/>
      <c r="F56" s="13"/>
      <c r="G56" s="13"/>
      <c r="H56" s="15" t="str">
        <f t="shared" si="2"/>
        <v/>
      </c>
      <c r="I56" s="13"/>
      <c r="J56" s="13"/>
      <c r="K56" s="16"/>
      <c r="L56" s="17" t="str">
        <f>IF(B56="","",MAX(0,IF(K56="",0,K56)-SUMIF('Usage Log'!$B$4:$B$503,B56,'Usage Log'!$C$4:$C$503)))</f>
        <v/>
      </c>
      <c r="M56" s="18" t="str">
        <f t="shared" si="3"/>
        <v/>
      </c>
      <c r="N56" s="15" t="str">
        <f>IF(B56="","",IF(L56&lt;=0,"consumed",IF(OR(L56&lt;Settings!$B$5,AND(K56&gt;0,L56/K56&lt;Settings!$B$6)),"low","active")))</f>
        <v/>
      </c>
      <c r="O56" s="14"/>
      <c r="P56" s="14"/>
    </row>
    <row r="57" spans="1:16" x14ac:dyDescent="0.45">
      <c r="A57" s="13"/>
      <c r="B57" s="13"/>
      <c r="C57" s="13"/>
      <c r="D57" s="14"/>
      <c r="E57" s="13"/>
      <c r="F57" s="13"/>
      <c r="G57" s="13"/>
      <c r="H57" s="15" t="str">
        <f t="shared" si="2"/>
        <v/>
      </c>
      <c r="I57" s="13"/>
      <c r="J57" s="13"/>
      <c r="K57" s="16"/>
      <c r="L57" s="17" t="str">
        <f>IF(B57="","",MAX(0,IF(K57="",0,K57)-SUMIF('Usage Log'!$B$4:$B$503,B57,'Usage Log'!$C$4:$C$503)))</f>
        <v/>
      </c>
      <c r="M57" s="18" t="str">
        <f t="shared" si="3"/>
        <v/>
      </c>
      <c r="N57" s="15" t="str">
        <f>IF(B57="","",IF(L57&lt;=0,"consumed",IF(OR(L57&lt;Settings!$B$5,AND(K57&gt;0,L57/K57&lt;Settings!$B$6)),"low","active")))</f>
        <v/>
      </c>
      <c r="O57" s="14"/>
      <c r="P57" s="14"/>
    </row>
    <row r="58" spans="1:16" x14ac:dyDescent="0.45">
      <c r="A58" s="13"/>
      <c r="B58" s="13"/>
      <c r="C58" s="13"/>
      <c r="D58" s="14"/>
      <c r="E58" s="13"/>
      <c r="F58" s="13"/>
      <c r="G58" s="13"/>
      <c r="H58" s="15" t="str">
        <f t="shared" si="2"/>
        <v/>
      </c>
      <c r="I58" s="13"/>
      <c r="J58" s="13"/>
      <c r="K58" s="16"/>
      <c r="L58" s="17" t="str">
        <f>IF(B58="","",MAX(0,IF(K58="",0,K58)-SUMIF('Usage Log'!$B$4:$B$503,B58,'Usage Log'!$C$4:$C$503)))</f>
        <v/>
      </c>
      <c r="M58" s="18" t="str">
        <f t="shared" si="3"/>
        <v/>
      </c>
      <c r="N58" s="15" t="str">
        <f>IF(B58="","",IF(L58&lt;=0,"consumed",IF(OR(L58&lt;Settings!$B$5,AND(K58&gt;0,L58/K58&lt;Settings!$B$6)),"low","active")))</f>
        <v/>
      </c>
      <c r="O58" s="14"/>
      <c r="P58" s="14"/>
    </row>
    <row r="59" spans="1:16" x14ac:dyDescent="0.45">
      <c r="A59" s="13"/>
      <c r="B59" s="13"/>
      <c r="C59" s="13"/>
      <c r="D59" s="14"/>
      <c r="E59" s="13"/>
      <c r="F59" s="13"/>
      <c r="G59" s="13"/>
      <c r="H59" s="15" t="str">
        <f t="shared" si="2"/>
        <v/>
      </c>
      <c r="I59" s="13"/>
      <c r="J59" s="13"/>
      <c r="K59" s="16"/>
      <c r="L59" s="17" t="str">
        <f>IF(B59="","",MAX(0,IF(K59="",0,K59)-SUMIF('Usage Log'!$B$4:$B$503,B59,'Usage Log'!$C$4:$C$503)))</f>
        <v/>
      </c>
      <c r="M59" s="18" t="str">
        <f t="shared" si="3"/>
        <v/>
      </c>
      <c r="N59" s="15" t="str">
        <f>IF(B59="","",IF(L59&lt;=0,"consumed",IF(OR(L59&lt;Settings!$B$5,AND(K59&gt;0,L59/K59&lt;Settings!$B$6)),"low","active")))</f>
        <v/>
      </c>
      <c r="O59" s="14"/>
      <c r="P59" s="14"/>
    </row>
    <row r="60" spans="1:16" x14ac:dyDescent="0.45">
      <c r="A60" s="13"/>
      <c r="B60" s="13"/>
      <c r="C60" s="13"/>
      <c r="D60" s="14"/>
      <c r="E60" s="13"/>
      <c r="F60" s="13"/>
      <c r="G60" s="13"/>
      <c r="H60" s="15" t="str">
        <f t="shared" si="2"/>
        <v/>
      </c>
      <c r="I60" s="13"/>
      <c r="J60" s="13"/>
      <c r="K60" s="16"/>
      <c r="L60" s="17" t="str">
        <f>IF(B60="","",MAX(0,IF(K60="",0,K60)-SUMIF('Usage Log'!$B$4:$B$503,B60,'Usage Log'!$C$4:$C$503)))</f>
        <v/>
      </c>
      <c r="M60" s="18" t="str">
        <f t="shared" si="3"/>
        <v/>
      </c>
      <c r="N60" s="15" t="str">
        <f>IF(B60="","",IF(L60&lt;=0,"consumed",IF(OR(L60&lt;Settings!$B$5,AND(K60&gt;0,L60/K60&lt;Settings!$B$6)),"low","active")))</f>
        <v/>
      </c>
      <c r="O60" s="14"/>
      <c r="P60" s="14"/>
    </row>
    <row r="61" spans="1:16" x14ac:dyDescent="0.45">
      <c r="A61" s="13"/>
      <c r="B61" s="13"/>
      <c r="C61" s="13"/>
      <c r="D61" s="14"/>
      <c r="E61" s="13"/>
      <c r="F61" s="13"/>
      <c r="G61" s="13"/>
      <c r="H61" s="15" t="str">
        <f t="shared" si="2"/>
        <v/>
      </c>
      <c r="I61" s="13"/>
      <c r="J61" s="13"/>
      <c r="K61" s="16"/>
      <c r="L61" s="17" t="str">
        <f>IF(B61="","",MAX(0,IF(K61="",0,K61)-SUMIF('Usage Log'!$B$4:$B$503,B61,'Usage Log'!$C$4:$C$503)))</f>
        <v/>
      </c>
      <c r="M61" s="18" t="str">
        <f t="shared" si="3"/>
        <v/>
      </c>
      <c r="N61" s="15" t="str">
        <f>IF(B61="","",IF(L61&lt;=0,"consumed",IF(OR(L61&lt;Settings!$B$5,AND(K61&gt;0,L61/K61&lt;Settings!$B$6)),"low","active")))</f>
        <v/>
      </c>
      <c r="O61" s="14"/>
      <c r="P61" s="14"/>
    </row>
    <row r="62" spans="1:16" x14ac:dyDescent="0.45">
      <c r="A62" s="13"/>
      <c r="B62" s="13"/>
      <c r="C62" s="13"/>
      <c r="D62" s="14"/>
      <c r="E62" s="13"/>
      <c r="F62" s="13"/>
      <c r="G62" s="13"/>
      <c r="H62" s="15" t="str">
        <f t="shared" si="2"/>
        <v/>
      </c>
      <c r="I62" s="13"/>
      <c r="J62" s="13"/>
      <c r="K62" s="16"/>
      <c r="L62" s="17" t="str">
        <f>IF(B62="","",MAX(0,IF(K62="",0,K62)-SUMIF('Usage Log'!$B$4:$B$503,B62,'Usage Log'!$C$4:$C$503)))</f>
        <v/>
      </c>
      <c r="M62" s="18" t="str">
        <f t="shared" si="3"/>
        <v/>
      </c>
      <c r="N62" s="15" t="str">
        <f>IF(B62="","",IF(L62&lt;=0,"consumed",IF(OR(L62&lt;Settings!$B$5,AND(K62&gt;0,L62/K62&lt;Settings!$B$6)),"low","active")))</f>
        <v/>
      </c>
      <c r="O62" s="14"/>
      <c r="P62" s="14"/>
    </row>
    <row r="63" spans="1:16" x14ac:dyDescent="0.45">
      <c r="A63" s="13"/>
      <c r="B63" s="13"/>
      <c r="C63" s="13"/>
      <c r="D63" s="14"/>
      <c r="E63" s="13"/>
      <c r="F63" s="13"/>
      <c r="G63" s="13"/>
      <c r="H63" s="15" t="str">
        <f t="shared" si="2"/>
        <v/>
      </c>
      <c r="I63" s="13"/>
      <c r="J63" s="13"/>
      <c r="K63" s="16"/>
      <c r="L63" s="17" t="str">
        <f>IF(B63="","",MAX(0,IF(K63="",0,K63)-SUMIF('Usage Log'!$B$4:$B$503,B63,'Usage Log'!$C$4:$C$503)))</f>
        <v/>
      </c>
      <c r="M63" s="18" t="str">
        <f t="shared" si="3"/>
        <v/>
      </c>
      <c r="N63" s="15" t="str">
        <f>IF(B63="","",IF(L63&lt;=0,"consumed",IF(OR(L63&lt;Settings!$B$5,AND(K63&gt;0,L63/K63&lt;Settings!$B$6)),"low","active")))</f>
        <v/>
      </c>
      <c r="O63" s="14"/>
      <c r="P63" s="14"/>
    </row>
    <row r="64" spans="1:16" x14ac:dyDescent="0.45">
      <c r="A64" s="13"/>
      <c r="B64" s="13"/>
      <c r="C64" s="13"/>
      <c r="D64" s="14"/>
      <c r="E64" s="13"/>
      <c r="F64" s="13"/>
      <c r="G64" s="13"/>
      <c r="H64" s="15" t="str">
        <f t="shared" si="2"/>
        <v/>
      </c>
      <c r="I64" s="13"/>
      <c r="J64" s="13"/>
      <c r="K64" s="16"/>
      <c r="L64" s="17" t="str">
        <f>IF(B64="","",MAX(0,IF(K64="",0,K64)-SUMIF('Usage Log'!$B$4:$B$503,B64,'Usage Log'!$C$4:$C$503)))</f>
        <v/>
      </c>
      <c r="M64" s="18" t="str">
        <f t="shared" si="3"/>
        <v/>
      </c>
      <c r="N64" s="15" t="str">
        <f>IF(B64="","",IF(L64&lt;=0,"consumed",IF(OR(L64&lt;Settings!$B$5,AND(K64&gt;0,L64/K64&lt;Settings!$B$6)),"low","active")))</f>
        <v/>
      </c>
      <c r="O64" s="14"/>
      <c r="P64" s="14"/>
    </row>
    <row r="65" spans="1:16" x14ac:dyDescent="0.45">
      <c r="A65" s="13"/>
      <c r="B65" s="13"/>
      <c r="C65" s="13"/>
      <c r="D65" s="14"/>
      <c r="E65" s="13"/>
      <c r="F65" s="13"/>
      <c r="G65" s="13"/>
      <c r="H65" s="15" t="str">
        <f t="shared" si="2"/>
        <v/>
      </c>
      <c r="I65" s="13"/>
      <c r="J65" s="13"/>
      <c r="K65" s="16"/>
      <c r="L65" s="17" t="str">
        <f>IF(B65="","",MAX(0,IF(K65="",0,K65)-SUMIF('Usage Log'!$B$4:$B$503,B65,'Usage Log'!$C$4:$C$503)))</f>
        <v/>
      </c>
      <c r="M65" s="18" t="str">
        <f t="shared" si="3"/>
        <v/>
      </c>
      <c r="N65" s="15" t="str">
        <f>IF(B65="","",IF(L65&lt;=0,"consumed",IF(OR(L65&lt;Settings!$B$5,AND(K65&gt;0,L65/K65&lt;Settings!$B$6)),"low","active")))</f>
        <v/>
      </c>
      <c r="O65" s="14"/>
      <c r="P65" s="14"/>
    </row>
    <row r="66" spans="1:16" x14ac:dyDescent="0.45">
      <c r="A66" s="13"/>
      <c r="B66" s="13"/>
      <c r="C66" s="13"/>
      <c r="D66" s="14"/>
      <c r="E66" s="13"/>
      <c r="F66" s="13"/>
      <c r="G66" s="13"/>
      <c r="H66" s="15" t="str">
        <f t="shared" si="2"/>
        <v/>
      </c>
      <c r="I66" s="13"/>
      <c r="J66" s="13"/>
      <c r="K66" s="16"/>
      <c r="L66" s="17" t="str">
        <f>IF(B66="","",MAX(0,IF(K66="",0,K66)-SUMIF('Usage Log'!$B$4:$B$503,B66,'Usage Log'!$C$4:$C$503)))</f>
        <v/>
      </c>
      <c r="M66" s="18" t="str">
        <f t="shared" si="3"/>
        <v/>
      </c>
      <c r="N66" s="15" t="str">
        <f>IF(B66="","",IF(L66&lt;=0,"consumed",IF(OR(L66&lt;Settings!$B$5,AND(K66&gt;0,L66/K66&lt;Settings!$B$6)),"low","active")))</f>
        <v/>
      </c>
      <c r="O66" s="14"/>
      <c r="P66" s="14"/>
    </row>
    <row r="67" spans="1:16" x14ac:dyDescent="0.45">
      <c r="A67" s="13"/>
      <c r="B67" s="13"/>
      <c r="C67" s="13"/>
      <c r="D67" s="14"/>
      <c r="E67" s="13"/>
      <c r="F67" s="13"/>
      <c r="G67" s="13"/>
      <c r="H67" s="15" t="str">
        <f t="shared" si="2"/>
        <v/>
      </c>
      <c r="I67" s="13"/>
      <c r="J67" s="13"/>
      <c r="K67" s="16"/>
      <c r="L67" s="17" t="str">
        <f>IF(B67="","",MAX(0,IF(K67="",0,K67)-SUMIF('Usage Log'!$B$4:$B$503,B67,'Usage Log'!$C$4:$C$503)))</f>
        <v/>
      </c>
      <c r="M67" s="18" t="str">
        <f t="shared" si="3"/>
        <v/>
      </c>
      <c r="N67" s="15" t="str">
        <f>IF(B67="","",IF(L67&lt;=0,"consumed",IF(OR(L67&lt;Settings!$B$5,AND(K67&gt;0,L67/K67&lt;Settings!$B$6)),"low","active")))</f>
        <v/>
      </c>
      <c r="O67" s="14"/>
      <c r="P67" s="14"/>
    </row>
    <row r="68" spans="1:16" x14ac:dyDescent="0.45">
      <c r="A68" s="13"/>
      <c r="B68" s="13"/>
      <c r="C68" s="13"/>
      <c r="D68" s="14"/>
      <c r="E68" s="13"/>
      <c r="F68" s="13"/>
      <c r="G68" s="13"/>
      <c r="H68" s="15" t="str">
        <f t="shared" ref="H68:H99" si="4">IF(G68="","",ROUND(G68/25.4,3))</f>
        <v/>
      </c>
      <c r="I68" s="13"/>
      <c r="J68" s="13"/>
      <c r="K68" s="16"/>
      <c r="L68" s="17" t="str">
        <f>IF(B68="","",MAX(0,IF(K68="",0,K68)-SUMIF('Usage Log'!$B$4:$B$503,B68,'Usage Log'!$C$4:$C$503)))</f>
        <v/>
      </c>
      <c r="M68" s="18" t="str">
        <f t="shared" ref="M68:M99" si="5">IF(B68="","",IF(K68="",0,K68)-L68)</f>
        <v/>
      </c>
      <c r="N68" s="15" t="str">
        <f>IF(B68="","",IF(L68&lt;=0,"consumed",IF(OR(L68&lt;Settings!$B$5,AND(K68&gt;0,L68/K68&lt;Settings!$B$6)),"low","active")))</f>
        <v/>
      </c>
      <c r="O68" s="14"/>
      <c r="P68" s="14"/>
    </row>
    <row r="69" spans="1:16" x14ac:dyDescent="0.45">
      <c r="A69" s="13"/>
      <c r="B69" s="13"/>
      <c r="C69" s="13"/>
      <c r="D69" s="14"/>
      <c r="E69" s="13"/>
      <c r="F69" s="13"/>
      <c r="G69" s="13"/>
      <c r="H69" s="15" t="str">
        <f t="shared" si="4"/>
        <v/>
      </c>
      <c r="I69" s="13"/>
      <c r="J69" s="13"/>
      <c r="K69" s="16"/>
      <c r="L69" s="17" t="str">
        <f>IF(B69="","",MAX(0,IF(K69="",0,K69)-SUMIF('Usage Log'!$B$4:$B$503,B69,'Usage Log'!$C$4:$C$503)))</f>
        <v/>
      </c>
      <c r="M69" s="18" t="str">
        <f t="shared" si="5"/>
        <v/>
      </c>
      <c r="N69" s="15" t="str">
        <f>IF(B69="","",IF(L69&lt;=0,"consumed",IF(OR(L69&lt;Settings!$B$5,AND(K69&gt;0,L69/K69&lt;Settings!$B$6)),"low","active")))</f>
        <v/>
      </c>
      <c r="O69" s="14"/>
      <c r="P69" s="14"/>
    </row>
    <row r="70" spans="1:16" x14ac:dyDescent="0.45">
      <c r="A70" s="13"/>
      <c r="B70" s="13"/>
      <c r="C70" s="13"/>
      <c r="D70" s="14"/>
      <c r="E70" s="13"/>
      <c r="F70" s="13"/>
      <c r="G70" s="13"/>
      <c r="H70" s="15" t="str">
        <f t="shared" si="4"/>
        <v/>
      </c>
      <c r="I70" s="13"/>
      <c r="J70" s="13"/>
      <c r="K70" s="16"/>
      <c r="L70" s="17" t="str">
        <f>IF(B70="","",MAX(0,IF(K70="",0,K70)-SUMIF('Usage Log'!$B$4:$B$503,B70,'Usage Log'!$C$4:$C$503)))</f>
        <v/>
      </c>
      <c r="M70" s="18" t="str">
        <f t="shared" si="5"/>
        <v/>
      </c>
      <c r="N70" s="15" t="str">
        <f>IF(B70="","",IF(L70&lt;=0,"consumed",IF(OR(L70&lt;Settings!$B$5,AND(K70&gt;0,L70/K70&lt;Settings!$B$6)),"low","active")))</f>
        <v/>
      </c>
      <c r="O70" s="14"/>
      <c r="P70" s="14"/>
    </row>
    <row r="71" spans="1:16" x14ac:dyDescent="0.45">
      <c r="A71" s="13"/>
      <c r="B71" s="13"/>
      <c r="C71" s="13"/>
      <c r="D71" s="14"/>
      <c r="E71" s="13"/>
      <c r="F71" s="13"/>
      <c r="G71" s="13"/>
      <c r="H71" s="15" t="str">
        <f t="shared" si="4"/>
        <v/>
      </c>
      <c r="I71" s="13"/>
      <c r="J71" s="13"/>
      <c r="K71" s="16"/>
      <c r="L71" s="17" t="str">
        <f>IF(B71="","",MAX(0,IF(K71="",0,K71)-SUMIF('Usage Log'!$B$4:$B$503,B71,'Usage Log'!$C$4:$C$503)))</f>
        <v/>
      </c>
      <c r="M71" s="18" t="str">
        <f t="shared" si="5"/>
        <v/>
      </c>
      <c r="N71" s="15" t="str">
        <f>IF(B71="","",IF(L71&lt;=0,"consumed",IF(OR(L71&lt;Settings!$B$5,AND(K71&gt;0,L71/K71&lt;Settings!$B$6)),"low","active")))</f>
        <v/>
      </c>
      <c r="O71" s="14"/>
      <c r="P71" s="14"/>
    </row>
    <row r="72" spans="1:16" x14ac:dyDescent="0.45">
      <c r="A72" s="13"/>
      <c r="B72" s="13"/>
      <c r="C72" s="13"/>
      <c r="D72" s="14"/>
      <c r="E72" s="13"/>
      <c r="F72" s="13"/>
      <c r="G72" s="13"/>
      <c r="H72" s="15" t="str">
        <f t="shared" si="4"/>
        <v/>
      </c>
      <c r="I72" s="13"/>
      <c r="J72" s="13"/>
      <c r="K72" s="16"/>
      <c r="L72" s="17" t="str">
        <f>IF(B72="","",MAX(0,IF(K72="",0,K72)-SUMIF('Usage Log'!$B$4:$B$503,B72,'Usage Log'!$C$4:$C$503)))</f>
        <v/>
      </c>
      <c r="M72" s="18" t="str">
        <f t="shared" si="5"/>
        <v/>
      </c>
      <c r="N72" s="15" t="str">
        <f>IF(B72="","",IF(L72&lt;=0,"consumed",IF(OR(L72&lt;Settings!$B$5,AND(K72&gt;0,L72/K72&lt;Settings!$B$6)),"low","active")))</f>
        <v/>
      </c>
      <c r="O72" s="14"/>
      <c r="P72" s="14"/>
    </row>
    <row r="73" spans="1:16" x14ac:dyDescent="0.45">
      <c r="A73" s="13"/>
      <c r="B73" s="13"/>
      <c r="C73" s="13"/>
      <c r="D73" s="14"/>
      <c r="E73" s="13"/>
      <c r="F73" s="13"/>
      <c r="G73" s="13"/>
      <c r="H73" s="15" t="str">
        <f t="shared" si="4"/>
        <v/>
      </c>
      <c r="I73" s="13"/>
      <c r="J73" s="13"/>
      <c r="K73" s="16"/>
      <c r="L73" s="17" t="str">
        <f>IF(B73="","",MAX(0,IF(K73="",0,K73)-SUMIF('Usage Log'!$B$4:$B$503,B73,'Usage Log'!$C$4:$C$503)))</f>
        <v/>
      </c>
      <c r="M73" s="18" t="str">
        <f t="shared" si="5"/>
        <v/>
      </c>
      <c r="N73" s="15" t="str">
        <f>IF(B73="","",IF(L73&lt;=0,"consumed",IF(OR(L73&lt;Settings!$B$5,AND(K73&gt;0,L73/K73&lt;Settings!$B$6)),"low","active")))</f>
        <v/>
      </c>
      <c r="O73" s="14"/>
      <c r="P73" s="14"/>
    </row>
    <row r="74" spans="1:16" x14ac:dyDescent="0.45">
      <c r="A74" s="13"/>
      <c r="B74" s="13"/>
      <c r="C74" s="13"/>
      <c r="D74" s="14"/>
      <c r="E74" s="13"/>
      <c r="F74" s="13"/>
      <c r="G74" s="13"/>
      <c r="H74" s="15" t="str">
        <f t="shared" si="4"/>
        <v/>
      </c>
      <c r="I74" s="13"/>
      <c r="J74" s="13"/>
      <c r="K74" s="16"/>
      <c r="L74" s="17" t="str">
        <f>IF(B74="","",MAX(0,IF(K74="",0,K74)-SUMIF('Usage Log'!$B$4:$B$503,B74,'Usage Log'!$C$4:$C$503)))</f>
        <v/>
      </c>
      <c r="M74" s="18" t="str">
        <f t="shared" si="5"/>
        <v/>
      </c>
      <c r="N74" s="15" t="str">
        <f>IF(B74="","",IF(L74&lt;=0,"consumed",IF(OR(L74&lt;Settings!$B$5,AND(K74&gt;0,L74/K74&lt;Settings!$B$6)),"low","active")))</f>
        <v/>
      </c>
      <c r="O74" s="14"/>
      <c r="P74" s="14"/>
    </row>
    <row r="75" spans="1:16" x14ac:dyDescent="0.45">
      <c r="A75" s="13"/>
      <c r="B75" s="13"/>
      <c r="C75" s="13"/>
      <c r="D75" s="14"/>
      <c r="E75" s="13"/>
      <c r="F75" s="13"/>
      <c r="G75" s="13"/>
      <c r="H75" s="15" t="str">
        <f t="shared" si="4"/>
        <v/>
      </c>
      <c r="I75" s="13"/>
      <c r="J75" s="13"/>
      <c r="K75" s="16"/>
      <c r="L75" s="17" t="str">
        <f>IF(B75="","",MAX(0,IF(K75="",0,K75)-SUMIF('Usage Log'!$B$4:$B$503,B75,'Usage Log'!$C$4:$C$503)))</f>
        <v/>
      </c>
      <c r="M75" s="18" t="str">
        <f t="shared" si="5"/>
        <v/>
      </c>
      <c r="N75" s="15" t="str">
        <f>IF(B75="","",IF(L75&lt;=0,"consumed",IF(OR(L75&lt;Settings!$B$5,AND(K75&gt;0,L75/K75&lt;Settings!$B$6)),"low","active")))</f>
        <v/>
      </c>
      <c r="O75" s="14"/>
      <c r="P75" s="14"/>
    </row>
    <row r="76" spans="1:16" x14ac:dyDescent="0.45">
      <c r="A76" s="13"/>
      <c r="B76" s="13"/>
      <c r="C76" s="13"/>
      <c r="D76" s="14"/>
      <c r="E76" s="13"/>
      <c r="F76" s="13"/>
      <c r="G76" s="13"/>
      <c r="H76" s="15" t="str">
        <f t="shared" si="4"/>
        <v/>
      </c>
      <c r="I76" s="13"/>
      <c r="J76" s="13"/>
      <c r="K76" s="16"/>
      <c r="L76" s="17" t="str">
        <f>IF(B76="","",MAX(0,IF(K76="",0,K76)-SUMIF('Usage Log'!$B$4:$B$503,B76,'Usage Log'!$C$4:$C$503)))</f>
        <v/>
      </c>
      <c r="M76" s="18" t="str">
        <f t="shared" si="5"/>
        <v/>
      </c>
      <c r="N76" s="15" t="str">
        <f>IF(B76="","",IF(L76&lt;=0,"consumed",IF(OR(L76&lt;Settings!$B$5,AND(K76&gt;0,L76/K76&lt;Settings!$B$6)),"low","active")))</f>
        <v/>
      </c>
      <c r="O76" s="14"/>
      <c r="P76" s="14"/>
    </row>
    <row r="77" spans="1:16" x14ac:dyDescent="0.45">
      <c r="A77" s="13"/>
      <c r="B77" s="13"/>
      <c r="C77" s="13"/>
      <c r="D77" s="14"/>
      <c r="E77" s="13"/>
      <c r="F77" s="13"/>
      <c r="G77" s="13"/>
      <c r="H77" s="15" t="str">
        <f t="shared" si="4"/>
        <v/>
      </c>
      <c r="I77" s="13"/>
      <c r="J77" s="13"/>
      <c r="K77" s="16"/>
      <c r="L77" s="17" t="str">
        <f>IF(B77="","",MAX(0,IF(K77="",0,K77)-SUMIF('Usage Log'!$B$4:$B$503,B77,'Usage Log'!$C$4:$C$503)))</f>
        <v/>
      </c>
      <c r="M77" s="18" t="str">
        <f t="shared" si="5"/>
        <v/>
      </c>
      <c r="N77" s="15" t="str">
        <f>IF(B77="","",IF(L77&lt;=0,"consumed",IF(OR(L77&lt;Settings!$B$5,AND(K77&gt;0,L77/K77&lt;Settings!$B$6)),"low","active")))</f>
        <v/>
      </c>
      <c r="O77" s="14"/>
      <c r="P77" s="14"/>
    </row>
    <row r="78" spans="1:16" x14ac:dyDescent="0.45">
      <c r="A78" s="13"/>
      <c r="B78" s="13"/>
      <c r="C78" s="13"/>
      <c r="D78" s="14"/>
      <c r="E78" s="13"/>
      <c r="F78" s="13"/>
      <c r="G78" s="13"/>
      <c r="H78" s="15" t="str">
        <f t="shared" si="4"/>
        <v/>
      </c>
      <c r="I78" s="13"/>
      <c r="J78" s="13"/>
      <c r="K78" s="16"/>
      <c r="L78" s="17" t="str">
        <f>IF(B78="","",MAX(0,IF(K78="",0,K78)-SUMIF('Usage Log'!$B$4:$B$503,B78,'Usage Log'!$C$4:$C$503)))</f>
        <v/>
      </c>
      <c r="M78" s="18" t="str">
        <f t="shared" si="5"/>
        <v/>
      </c>
      <c r="N78" s="15" t="str">
        <f>IF(B78="","",IF(L78&lt;=0,"consumed",IF(OR(L78&lt;Settings!$B$5,AND(K78&gt;0,L78/K78&lt;Settings!$B$6)),"low","active")))</f>
        <v/>
      </c>
      <c r="O78" s="14"/>
      <c r="P78" s="14"/>
    </row>
    <row r="79" spans="1:16" x14ac:dyDescent="0.45">
      <c r="A79" s="13"/>
      <c r="B79" s="13"/>
      <c r="C79" s="13"/>
      <c r="D79" s="14"/>
      <c r="E79" s="13"/>
      <c r="F79" s="13"/>
      <c r="G79" s="13"/>
      <c r="H79" s="15" t="str">
        <f t="shared" si="4"/>
        <v/>
      </c>
      <c r="I79" s="13"/>
      <c r="J79" s="13"/>
      <c r="K79" s="16"/>
      <c r="L79" s="17" t="str">
        <f>IF(B79="","",MAX(0,IF(K79="",0,K79)-SUMIF('Usage Log'!$B$4:$B$503,B79,'Usage Log'!$C$4:$C$503)))</f>
        <v/>
      </c>
      <c r="M79" s="18" t="str">
        <f t="shared" si="5"/>
        <v/>
      </c>
      <c r="N79" s="15" t="str">
        <f>IF(B79="","",IF(L79&lt;=0,"consumed",IF(OR(L79&lt;Settings!$B$5,AND(K79&gt;0,L79/K79&lt;Settings!$B$6)),"low","active")))</f>
        <v/>
      </c>
      <c r="O79" s="14"/>
      <c r="P79" s="14"/>
    </row>
    <row r="80" spans="1:16" x14ac:dyDescent="0.45">
      <c r="A80" s="13"/>
      <c r="B80" s="13"/>
      <c r="C80" s="13"/>
      <c r="D80" s="14"/>
      <c r="E80" s="13"/>
      <c r="F80" s="13"/>
      <c r="G80" s="13"/>
      <c r="H80" s="15" t="str">
        <f t="shared" si="4"/>
        <v/>
      </c>
      <c r="I80" s="13"/>
      <c r="J80" s="13"/>
      <c r="K80" s="16"/>
      <c r="L80" s="17" t="str">
        <f>IF(B80="","",MAX(0,IF(K80="",0,K80)-SUMIF('Usage Log'!$B$4:$B$503,B80,'Usage Log'!$C$4:$C$503)))</f>
        <v/>
      </c>
      <c r="M80" s="18" t="str">
        <f t="shared" si="5"/>
        <v/>
      </c>
      <c r="N80" s="15" t="str">
        <f>IF(B80="","",IF(L80&lt;=0,"consumed",IF(OR(L80&lt;Settings!$B$5,AND(K80&gt;0,L80/K80&lt;Settings!$B$6)),"low","active")))</f>
        <v/>
      </c>
      <c r="O80" s="14"/>
      <c r="P80" s="14"/>
    </row>
    <row r="81" spans="1:16" x14ac:dyDescent="0.45">
      <c r="A81" s="13"/>
      <c r="B81" s="13"/>
      <c r="C81" s="13"/>
      <c r="D81" s="14"/>
      <c r="E81" s="13"/>
      <c r="F81" s="13"/>
      <c r="G81" s="13"/>
      <c r="H81" s="15" t="str">
        <f t="shared" si="4"/>
        <v/>
      </c>
      <c r="I81" s="13"/>
      <c r="J81" s="13"/>
      <c r="K81" s="16"/>
      <c r="L81" s="17" t="str">
        <f>IF(B81="","",MAX(0,IF(K81="",0,K81)-SUMIF('Usage Log'!$B$4:$B$503,B81,'Usage Log'!$C$4:$C$503)))</f>
        <v/>
      </c>
      <c r="M81" s="18" t="str">
        <f t="shared" si="5"/>
        <v/>
      </c>
      <c r="N81" s="15" t="str">
        <f>IF(B81="","",IF(L81&lt;=0,"consumed",IF(OR(L81&lt;Settings!$B$5,AND(K81&gt;0,L81/K81&lt;Settings!$B$6)),"low","active")))</f>
        <v/>
      </c>
      <c r="O81" s="14"/>
      <c r="P81" s="14"/>
    </row>
    <row r="82" spans="1:16" x14ac:dyDescent="0.45">
      <c r="A82" s="13"/>
      <c r="B82" s="13"/>
      <c r="C82" s="13"/>
      <c r="D82" s="14"/>
      <c r="E82" s="13"/>
      <c r="F82" s="13"/>
      <c r="G82" s="13"/>
      <c r="H82" s="15" t="str">
        <f t="shared" si="4"/>
        <v/>
      </c>
      <c r="I82" s="13"/>
      <c r="J82" s="13"/>
      <c r="K82" s="16"/>
      <c r="L82" s="17" t="str">
        <f>IF(B82="","",MAX(0,IF(K82="",0,K82)-SUMIF('Usage Log'!$B$4:$B$503,B82,'Usage Log'!$C$4:$C$503)))</f>
        <v/>
      </c>
      <c r="M82" s="18" t="str">
        <f t="shared" si="5"/>
        <v/>
      </c>
      <c r="N82" s="15" t="str">
        <f>IF(B82="","",IF(L82&lt;=0,"consumed",IF(OR(L82&lt;Settings!$B$5,AND(K82&gt;0,L82/K82&lt;Settings!$B$6)),"low","active")))</f>
        <v/>
      </c>
      <c r="O82" s="14"/>
      <c r="P82" s="14"/>
    </row>
    <row r="83" spans="1:16" x14ac:dyDescent="0.45">
      <c r="A83" s="13"/>
      <c r="B83" s="13"/>
      <c r="C83" s="13"/>
      <c r="D83" s="14"/>
      <c r="E83" s="13"/>
      <c r="F83" s="13"/>
      <c r="G83" s="13"/>
      <c r="H83" s="15" t="str">
        <f t="shared" si="4"/>
        <v/>
      </c>
      <c r="I83" s="13"/>
      <c r="J83" s="13"/>
      <c r="K83" s="16"/>
      <c r="L83" s="17" t="str">
        <f>IF(B83="","",MAX(0,IF(K83="",0,K83)-SUMIF('Usage Log'!$B$4:$B$503,B83,'Usage Log'!$C$4:$C$503)))</f>
        <v/>
      </c>
      <c r="M83" s="18" t="str">
        <f t="shared" si="5"/>
        <v/>
      </c>
      <c r="N83" s="15" t="str">
        <f>IF(B83="","",IF(L83&lt;=0,"consumed",IF(OR(L83&lt;Settings!$B$5,AND(K83&gt;0,L83/K83&lt;Settings!$B$6)),"low","active")))</f>
        <v/>
      </c>
      <c r="O83" s="14"/>
      <c r="P83" s="14"/>
    </row>
    <row r="84" spans="1:16" x14ac:dyDescent="0.45">
      <c r="A84" s="13"/>
      <c r="B84" s="13"/>
      <c r="C84" s="13"/>
      <c r="D84" s="14"/>
      <c r="E84" s="13"/>
      <c r="F84" s="13"/>
      <c r="G84" s="13"/>
      <c r="H84" s="15" t="str">
        <f t="shared" si="4"/>
        <v/>
      </c>
      <c r="I84" s="13"/>
      <c r="J84" s="13"/>
      <c r="K84" s="16"/>
      <c r="L84" s="17" t="str">
        <f>IF(B84="","",MAX(0,IF(K84="",0,K84)-SUMIF('Usage Log'!$B$4:$B$503,B84,'Usage Log'!$C$4:$C$503)))</f>
        <v/>
      </c>
      <c r="M84" s="18" t="str">
        <f t="shared" si="5"/>
        <v/>
      </c>
      <c r="N84" s="15" t="str">
        <f>IF(B84="","",IF(L84&lt;=0,"consumed",IF(OR(L84&lt;Settings!$B$5,AND(K84&gt;0,L84/K84&lt;Settings!$B$6)),"low","active")))</f>
        <v/>
      </c>
      <c r="O84" s="14"/>
      <c r="P84" s="14"/>
    </row>
    <row r="85" spans="1:16" x14ac:dyDescent="0.45">
      <c r="A85" s="13"/>
      <c r="B85" s="13"/>
      <c r="C85" s="13"/>
      <c r="D85" s="14"/>
      <c r="E85" s="13"/>
      <c r="F85" s="13"/>
      <c r="G85" s="13"/>
      <c r="H85" s="15" t="str">
        <f t="shared" si="4"/>
        <v/>
      </c>
      <c r="I85" s="13"/>
      <c r="J85" s="13"/>
      <c r="K85" s="16"/>
      <c r="L85" s="17" t="str">
        <f>IF(B85="","",MAX(0,IF(K85="",0,K85)-SUMIF('Usage Log'!$B$4:$B$503,B85,'Usage Log'!$C$4:$C$503)))</f>
        <v/>
      </c>
      <c r="M85" s="18" t="str">
        <f t="shared" si="5"/>
        <v/>
      </c>
      <c r="N85" s="15" t="str">
        <f>IF(B85="","",IF(L85&lt;=0,"consumed",IF(OR(L85&lt;Settings!$B$5,AND(K85&gt;0,L85/K85&lt;Settings!$B$6)),"low","active")))</f>
        <v/>
      </c>
      <c r="O85" s="14"/>
      <c r="P85" s="14"/>
    </row>
    <row r="86" spans="1:16" x14ac:dyDescent="0.45">
      <c r="A86" s="13"/>
      <c r="B86" s="13"/>
      <c r="C86" s="13"/>
      <c r="D86" s="14"/>
      <c r="E86" s="13"/>
      <c r="F86" s="13"/>
      <c r="G86" s="13"/>
      <c r="H86" s="15" t="str">
        <f t="shared" si="4"/>
        <v/>
      </c>
      <c r="I86" s="13"/>
      <c r="J86" s="13"/>
      <c r="K86" s="16"/>
      <c r="L86" s="17" t="str">
        <f>IF(B86="","",MAX(0,IF(K86="",0,K86)-SUMIF('Usage Log'!$B$4:$B$503,B86,'Usage Log'!$C$4:$C$503)))</f>
        <v/>
      </c>
      <c r="M86" s="18" t="str">
        <f t="shared" si="5"/>
        <v/>
      </c>
      <c r="N86" s="15" t="str">
        <f>IF(B86="","",IF(L86&lt;=0,"consumed",IF(OR(L86&lt;Settings!$B$5,AND(K86&gt;0,L86/K86&lt;Settings!$B$6)),"low","active")))</f>
        <v/>
      </c>
      <c r="O86" s="14"/>
      <c r="P86" s="14"/>
    </row>
    <row r="87" spans="1:16" x14ac:dyDescent="0.45">
      <c r="A87" s="13"/>
      <c r="B87" s="13"/>
      <c r="C87" s="13"/>
      <c r="D87" s="14"/>
      <c r="E87" s="13"/>
      <c r="F87" s="13"/>
      <c r="G87" s="13"/>
      <c r="H87" s="15" t="str">
        <f t="shared" si="4"/>
        <v/>
      </c>
      <c r="I87" s="13"/>
      <c r="J87" s="13"/>
      <c r="K87" s="16"/>
      <c r="L87" s="17" t="str">
        <f>IF(B87="","",MAX(0,IF(K87="",0,K87)-SUMIF('Usage Log'!$B$4:$B$503,B87,'Usage Log'!$C$4:$C$503)))</f>
        <v/>
      </c>
      <c r="M87" s="18" t="str">
        <f t="shared" si="5"/>
        <v/>
      </c>
      <c r="N87" s="15" t="str">
        <f>IF(B87="","",IF(L87&lt;=0,"consumed",IF(OR(L87&lt;Settings!$B$5,AND(K87&gt;0,L87/K87&lt;Settings!$B$6)),"low","active")))</f>
        <v/>
      </c>
      <c r="O87" s="14"/>
      <c r="P87" s="14"/>
    </row>
    <row r="88" spans="1:16" x14ac:dyDescent="0.45">
      <c r="A88" s="13"/>
      <c r="B88" s="13"/>
      <c r="C88" s="13"/>
      <c r="D88" s="14"/>
      <c r="E88" s="13"/>
      <c r="F88" s="13"/>
      <c r="G88" s="13"/>
      <c r="H88" s="15" t="str">
        <f t="shared" si="4"/>
        <v/>
      </c>
      <c r="I88" s="13"/>
      <c r="J88" s="13"/>
      <c r="K88" s="16"/>
      <c r="L88" s="17" t="str">
        <f>IF(B88="","",MAX(0,IF(K88="",0,K88)-SUMIF('Usage Log'!$B$4:$B$503,B88,'Usage Log'!$C$4:$C$503)))</f>
        <v/>
      </c>
      <c r="M88" s="18" t="str">
        <f t="shared" si="5"/>
        <v/>
      </c>
      <c r="N88" s="15" t="str">
        <f>IF(B88="","",IF(L88&lt;=0,"consumed",IF(OR(L88&lt;Settings!$B$5,AND(K88&gt;0,L88/K88&lt;Settings!$B$6)),"low","active")))</f>
        <v/>
      </c>
      <c r="O88" s="14"/>
      <c r="P88" s="14"/>
    </row>
    <row r="89" spans="1:16" x14ac:dyDescent="0.45">
      <c r="A89" s="13"/>
      <c r="B89" s="13"/>
      <c r="C89" s="13"/>
      <c r="D89" s="14"/>
      <c r="E89" s="13"/>
      <c r="F89" s="13"/>
      <c r="G89" s="13"/>
      <c r="H89" s="15" t="str">
        <f t="shared" si="4"/>
        <v/>
      </c>
      <c r="I89" s="13"/>
      <c r="J89" s="13"/>
      <c r="K89" s="16"/>
      <c r="L89" s="17" t="str">
        <f>IF(B89="","",MAX(0,IF(K89="",0,K89)-SUMIF('Usage Log'!$B$4:$B$503,B89,'Usage Log'!$C$4:$C$503)))</f>
        <v/>
      </c>
      <c r="M89" s="18" t="str">
        <f t="shared" si="5"/>
        <v/>
      </c>
      <c r="N89" s="15" t="str">
        <f>IF(B89="","",IF(L89&lt;=0,"consumed",IF(OR(L89&lt;Settings!$B$5,AND(K89&gt;0,L89/K89&lt;Settings!$B$6)),"low","active")))</f>
        <v/>
      </c>
      <c r="O89" s="14"/>
      <c r="P89" s="14"/>
    </row>
    <row r="90" spans="1:16" x14ac:dyDescent="0.45">
      <c r="A90" s="13"/>
      <c r="B90" s="13"/>
      <c r="C90" s="13"/>
      <c r="D90" s="14"/>
      <c r="E90" s="13"/>
      <c r="F90" s="13"/>
      <c r="G90" s="13"/>
      <c r="H90" s="15" t="str">
        <f t="shared" si="4"/>
        <v/>
      </c>
      <c r="I90" s="13"/>
      <c r="J90" s="13"/>
      <c r="K90" s="16"/>
      <c r="L90" s="17" t="str">
        <f>IF(B90="","",MAX(0,IF(K90="",0,K90)-SUMIF('Usage Log'!$B$4:$B$503,B90,'Usage Log'!$C$4:$C$503)))</f>
        <v/>
      </c>
      <c r="M90" s="18" t="str">
        <f t="shared" si="5"/>
        <v/>
      </c>
      <c r="N90" s="15" t="str">
        <f>IF(B90="","",IF(L90&lt;=0,"consumed",IF(OR(L90&lt;Settings!$B$5,AND(K90&gt;0,L90/K90&lt;Settings!$B$6)),"low","active")))</f>
        <v/>
      </c>
      <c r="O90" s="14"/>
      <c r="P90" s="14"/>
    </row>
    <row r="91" spans="1:16" x14ac:dyDescent="0.45">
      <c r="A91" s="13"/>
      <c r="B91" s="13"/>
      <c r="C91" s="13"/>
      <c r="D91" s="14"/>
      <c r="E91" s="13"/>
      <c r="F91" s="13"/>
      <c r="G91" s="13"/>
      <c r="H91" s="15" t="str">
        <f t="shared" si="4"/>
        <v/>
      </c>
      <c r="I91" s="13"/>
      <c r="J91" s="13"/>
      <c r="K91" s="16"/>
      <c r="L91" s="17" t="str">
        <f>IF(B91="","",MAX(0,IF(K91="",0,K91)-SUMIF('Usage Log'!$B$4:$B$503,B91,'Usage Log'!$C$4:$C$503)))</f>
        <v/>
      </c>
      <c r="M91" s="18" t="str">
        <f t="shared" si="5"/>
        <v/>
      </c>
      <c r="N91" s="15" t="str">
        <f>IF(B91="","",IF(L91&lt;=0,"consumed",IF(OR(L91&lt;Settings!$B$5,AND(K91&gt;0,L91/K91&lt;Settings!$B$6)),"low","active")))</f>
        <v/>
      </c>
      <c r="O91" s="14"/>
      <c r="P91" s="14"/>
    </row>
    <row r="92" spans="1:16" x14ac:dyDescent="0.45">
      <c r="A92" s="13"/>
      <c r="B92" s="13"/>
      <c r="C92" s="13"/>
      <c r="D92" s="14"/>
      <c r="E92" s="13"/>
      <c r="F92" s="13"/>
      <c r="G92" s="13"/>
      <c r="H92" s="15" t="str">
        <f t="shared" si="4"/>
        <v/>
      </c>
      <c r="I92" s="13"/>
      <c r="J92" s="13"/>
      <c r="K92" s="16"/>
      <c r="L92" s="17" t="str">
        <f>IF(B92="","",MAX(0,IF(K92="",0,K92)-SUMIF('Usage Log'!$B$4:$B$503,B92,'Usage Log'!$C$4:$C$503)))</f>
        <v/>
      </c>
      <c r="M92" s="18" t="str">
        <f t="shared" si="5"/>
        <v/>
      </c>
      <c r="N92" s="15" t="str">
        <f>IF(B92="","",IF(L92&lt;=0,"consumed",IF(OR(L92&lt;Settings!$B$5,AND(K92&gt;0,L92/K92&lt;Settings!$B$6)),"low","active")))</f>
        <v/>
      </c>
      <c r="O92" s="14"/>
      <c r="P92" s="14"/>
    </row>
    <row r="93" spans="1:16" x14ac:dyDescent="0.45">
      <c r="A93" s="13"/>
      <c r="B93" s="13"/>
      <c r="C93" s="13"/>
      <c r="D93" s="14"/>
      <c r="E93" s="13"/>
      <c r="F93" s="13"/>
      <c r="G93" s="13"/>
      <c r="H93" s="15" t="str">
        <f t="shared" si="4"/>
        <v/>
      </c>
      <c r="I93" s="13"/>
      <c r="J93" s="13"/>
      <c r="K93" s="16"/>
      <c r="L93" s="17" t="str">
        <f>IF(B93="","",MAX(0,IF(K93="",0,K93)-SUMIF('Usage Log'!$B$4:$B$503,B93,'Usage Log'!$C$4:$C$503)))</f>
        <v/>
      </c>
      <c r="M93" s="18" t="str">
        <f t="shared" si="5"/>
        <v/>
      </c>
      <c r="N93" s="15" t="str">
        <f>IF(B93="","",IF(L93&lt;=0,"consumed",IF(OR(L93&lt;Settings!$B$5,AND(K93&gt;0,L93/K93&lt;Settings!$B$6)),"low","active")))</f>
        <v/>
      </c>
      <c r="O93" s="14"/>
      <c r="P93" s="14"/>
    </row>
    <row r="94" spans="1:16" x14ac:dyDescent="0.45">
      <c r="A94" s="13"/>
      <c r="B94" s="13"/>
      <c r="C94" s="13"/>
      <c r="D94" s="14"/>
      <c r="E94" s="13"/>
      <c r="F94" s="13"/>
      <c r="G94" s="13"/>
      <c r="H94" s="15" t="str">
        <f t="shared" si="4"/>
        <v/>
      </c>
      <c r="I94" s="13"/>
      <c r="J94" s="13"/>
      <c r="K94" s="16"/>
      <c r="L94" s="17" t="str">
        <f>IF(B94="","",MAX(0,IF(K94="",0,K94)-SUMIF('Usage Log'!$B$4:$B$503,B94,'Usage Log'!$C$4:$C$503)))</f>
        <v/>
      </c>
      <c r="M94" s="18" t="str">
        <f t="shared" si="5"/>
        <v/>
      </c>
      <c r="N94" s="15" t="str">
        <f>IF(B94="","",IF(L94&lt;=0,"consumed",IF(OR(L94&lt;Settings!$B$5,AND(K94&gt;0,L94/K94&lt;Settings!$B$6)),"low","active")))</f>
        <v/>
      </c>
      <c r="O94" s="14"/>
      <c r="P94" s="14"/>
    </row>
    <row r="95" spans="1:16" x14ac:dyDescent="0.45">
      <c r="A95" s="13"/>
      <c r="B95" s="13"/>
      <c r="C95" s="13"/>
      <c r="D95" s="14"/>
      <c r="E95" s="13"/>
      <c r="F95" s="13"/>
      <c r="G95" s="13"/>
      <c r="H95" s="15" t="str">
        <f t="shared" si="4"/>
        <v/>
      </c>
      <c r="I95" s="13"/>
      <c r="J95" s="13"/>
      <c r="K95" s="16"/>
      <c r="L95" s="17" t="str">
        <f>IF(B95="","",MAX(0,IF(K95="",0,K95)-SUMIF('Usage Log'!$B$4:$B$503,B95,'Usage Log'!$C$4:$C$503)))</f>
        <v/>
      </c>
      <c r="M95" s="18" t="str">
        <f t="shared" si="5"/>
        <v/>
      </c>
      <c r="N95" s="15" t="str">
        <f>IF(B95="","",IF(L95&lt;=0,"consumed",IF(OR(L95&lt;Settings!$B$5,AND(K95&gt;0,L95/K95&lt;Settings!$B$6)),"low","active")))</f>
        <v/>
      </c>
      <c r="O95" s="14"/>
      <c r="P95" s="14"/>
    </row>
    <row r="96" spans="1:16" x14ac:dyDescent="0.45">
      <c r="A96" s="13"/>
      <c r="B96" s="13"/>
      <c r="C96" s="13"/>
      <c r="D96" s="14"/>
      <c r="E96" s="13"/>
      <c r="F96" s="13"/>
      <c r="G96" s="13"/>
      <c r="H96" s="15" t="str">
        <f t="shared" si="4"/>
        <v/>
      </c>
      <c r="I96" s="13"/>
      <c r="J96" s="13"/>
      <c r="K96" s="16"/>
      <c r="L96" s="17" t="str">
        <f>IF(B96="","",MAX(0,IF(K96="",0,K96)-SUMIF('Usage Log'!$B$4:$B$503,B96,'Usage Log'!$C$4:$C$503)))</f>
        <v/>
      </c>
      <c r="M96" s="18" t="str">
        <f t="shared" si="5"/>
        <v/>
      </c>
      <c r="N96" s="15" t="str">
        <f>IF(B96="","",IF(L96&lt;=0,"consumed",IF(OR(L96&lt;Settings!$B$5,AND(K96&gt;0,L96/K96&lt;Settings!$B$6)),"low","active")))</f>
        <v/>
      </c>
      <c r="O96" s="14"/>
      <c r="P96" s="14"/>
    </row>
    <row r="97" spans="1:16" x14ac:dyDescent="0.45">
      <c r="A97" s="13"/>
      <c r="B97" s="13"/>
      <c r="C97" s="13"/>
      <c r="D97" s="14"/>
      <c r="E97" s="13"/>
      <c r="F97" s="13"/>
      <c r="G97" s="13"/>
      <c r="H97" s="15" t="str">
        <f t="shared" si="4"/>
        <v/>
      </c>
      <c r="I97" s="13"/>
      <c r="J97" s="13"/>
      <c r="K97" s="16"/>
      <c r="L97" s="17" t="str">
        <f>IF(B97="","",MAX(0,IF(K97="",0,K97)-SUMIF('Usage Log'!$B$4:$B$503,B97,'Usage Log'!$C$4:$C$503)))</f>
        <v/>
      </c>
      <c r="M97" s="18" t="str">
        <f t="shared" si="5"/>
        <v/>
      </c>
      <c r="N97" s="15" t="str">
        <f>IF(B97="","",IF(L97&lt;=0,"consumed",IF(OR(L97&lt;Settings!$B$5,AND(K97&gt;0,L97/K97&lt;Settings!$B$6)),"low","active")))</f>
        <v/>
      </c>
      <c r="O97" s="14"/>
      <c r="P97" s="14"/>
    </row>
    <row r="98" spans="1:16" x14ac:dyDescent="0.45">
      <c r="A98" s="13"/>
      <c r="B98" s="13"/>
      <c r="C98" s="13"/>
      <c r="D98" s="14"/>
      <c r="E98" s="13"/>
      <c r="F98" s="13"/>
      <c r="G98" s="13"/>
      <c r="H98" s="15" t="str">
        <f t="shared" si="4"/>
        <v/>
      </c>
      <c r="I98" s="13"/>
      <c r="J98" s="13"/>
      <c r="K98" s="16"/>
      <c r="L98" s="17" t="str">
        <f>IF(B98="","",MAX(0,IF(K98="",0,K98)-SUMIF('Usage Log'!$B$4:$B$503,B98,'Usage Log'!$C$4:$C$503)))</f>
        <v/>
      </c>
      <c r="M98" s="18" t="str">
        <f t="shared" si="5"/>
        <v/>
      </c>
      <c r="N98" s="15" t="str">
        <f>IF(B98="","",IF(L98&lt;=0,"consumed",IF(OR(L98&lt;Settings!$B$5,AND(K98&gt;0,L98/K98&lt;Settings!$B$6)),"low","active")))</f>
        <v/>
      </c>
      <c r="O98" s="14"/>
      <c r="P98" s="14"/>
    </row>
    <row r="99" spans="1:16" x14ac:dyDescent="0.45">
      <c r="A99" s="13"/>
      <c r="B99" s="13"/>
      <c r="C99" s="13"/>
      <c r="D99" s="14"/>
      <c r="E99" s="13"/>
      <c r="F99" s="13"/>
      <c r="G99" s="13"/>
      <c r="H99" s="15" t="str">
        <f t="shared" si="4"/>
        <v/>
      </c>
      <c r="I99" s="13"/>
      <c r="J99" s="13"/>
      <c r="K99" s="16"/>
      <c r="L99" s="17" t="str">
        <f>IF(B99="","",MAX(0,IF(K99="",0,K99)-SUMIF('Usage Log'!$B$4:$B$503,B99,'Usage Log'!$C$4:$C$503)))</f>
        <v/>
      </c>
      <c r="M99" s="18" t="str">
        <f t="shared" si="5"/>
        <v/>
      </c>
      <c r="N99" s="15" t="str">
        <f>IF(B99="","",IF(L99&lt;=0,"consumed",IF(OR(L99&lt;Settings!$B$5,AND(K99&gt;0,L99/K99&lt;Settings!$B$6)),"low","active")))</f>
        <v/>
      </c>
      <c r="O99" s="14"/>
      <c r="P99" s="14"/>
    </row>
    <row r="100" spans="1:16" x14ac:dyDescent="0.45">
      <c r="A100" s="13"/>
      <c r="B100" s="13"/>
      <c r="C100" s="13"/>
      <c r="D100" s="14"/>
      <c r="E100" s="13"/>
      <c r="F100" s="13"/>
      <c r="G100" s="13"/>
      <c r="H100" s="15" t="str">
        <f t="shared" ref="H100:H131" si="6">IF(G100="","",ROUND(G100/25.4,3))</f>
        <v/>
      </c>
      <c r="I100" s="13"/>
      <c r="J100" s="13"/>
      <c r="K100" s="16"/>
      <c r="L100" s="17" t="str">
        <f>IF(B100="","",MAX(0,IF(K100="",0,K100)-SUMIF('Usage Log'!$B$4:$B$503,B100,'Usage Log'!$C$4:$C$503)))</f>
        <v/>
      </c>
      <c r="M100" s="18" t="str">
        <f t="shared" ref="M100:M131" si="7">IF(B100="","",IF(K100="",0,K100)-L100)</f>
        <v/>
      </c>
      <c r="N100" s="15" t="str">
        <f>IF(B100="","",IF(L100&lt;=0,"consumed",IF(OR(L100&lt;Settings!$B$5,AND(K100&gt;0,L100/K100&lt;Settings!$B$6)),"low","active")))</f>
        <v/>
      </c>
      <c r="O100" s="14"/>
      <c r="P100" s="14"/>
    </row>
    <row r="101" spans="1:16" x14ac:dyDescent="0.45">
      <c r="A101" s="13"/>
      <c r="B101" s="13"/>
      <c r="C101" s="13"/>
      <c r="D101" s="14"/>
      <c r="E101" s="13"/>
      <c r="F101" s="13"/>
      <c r="G101" s="13"/>
      <c r="H101" s="15" t="str">
        <f t="shared" si="6"/>
        <v/>
      </c>
      <c r="I101" s="13"/>
      <c r="J101" s="13"/>
      <c r="K101" s="16"/>
      <c r="L101" s="17" t="str">
        <f>IF(B101="","",MAX(0,IF(K101="",0,K101)-SUMIF('Usage Log'!$B$4:$B$503,B101,'Usage Log'!$C$4:$C$503)))</f>
        <v/>
      </c>
      <c r="M101" s="18" t="str">
        <f t="shared" si="7"/>
        <v/>
      </c>
      <c r="N101" s="15" t="str">
        <f>IF(B101="","",IF(L101&lt;=0,"consumed",IF(OR(L101&lt;Settings!$B$5,AND(K101&gt;0,L101/K101&lt;Settings!$B$6)),"low","active")))</f>
        <v/>
      </c>
      <c r="O101" s="14"/>
      <c r="P101" s="14"/>
    </row>
    <row r="102" spans="1:16" x14ac:dyDescent="0.45">
      <c r="A102" s="13"/>
      <c r="B102" s="13"/>
      <c r="C102" s="13"/>
      <c r="D102" s="14"/>
      <c r="E102" s="13"/>
      <c r="F102" s="13"/>
      <c r="G102" s="13"/>
      <c r="H102" s="15" t="str">
        <f t="shared" si="6"/>
        <v/>
      </c>
      <c r="I102" s="13"/>
      <c r="J102" s="13"/>
      <c r="K102" s="16"/>
      <c r="L102" s="17" t="str">
        <f>IF(B102="","",MAX(0,IF(K102="",0,K102)-SUMIF('Usage Log'!$B$4:$B$503,B102,'Usage Log'!$C$4:$C$503)))</f>
        <v/>
      </c>
      <c r="M102" s="18" t="str">
        <f t="shared" si="7"/>
        <v/>
      </c>
      <c r="N102" s="15" t="str">
        <f>IF(B102="","",IF(L102&lt;=0,"consumed",IF(OR(L102&lt;Settings!$B$5,AND(K102&gt;0,L102/K102&lt;Settings!$B$6)),"low","active")))</f>
        <v/>
      </c>
      <c r="O102" s="14"/>
      <c r="P102" s="14"/>
    </row>
    <row r="103" spans="1:16" x14ac:dyDescent="0.45">
      <c r="A103" s="13"/>
      <c r="B103" s="13"/>
      <c r="C103" s="13"/>
      <c r="D103" s="14"/>
      <c r="E103" s="13"/>
      <c r="F103" s="13"/>
      <c r="G103" s="13"/>
      <c r="H103" s="15" t="str">
        <f t="shared" si="6"/>
        <v/>
      </c>
      <c r="I103" s="13"/>
      <c r="J103" s="13"/>
      <c r="K103" s="16"/>
      <c r="L103" s="17" t="str">
        <f>IF(B103="","",MAX(0,IF(K103="",0,K103)-SUMIF('Usage Log'!$B$4:$B$503,B103,'Usage Log'!$C$4:$C$503)))</f>
        <v/>
      </c>
      <c r="M103" s="18" t="str">
        <f t="shared" si="7"/>
        <v/>
      </c>
      <c r="N103" s="15" t="str">
        <f>IF(B103="","",IF(L103&lt;=0,"consumed",IF(OR(L103&lt;Settings!$B$5,AND(K103&gt;0,L103/K103&lt;Settings!$B$6)),"low","active")))</f>
        <v/>
      </c>
      <c r="O103" s="14"/>
      <c r="P103" s="14"/>
    </row>
    <row r="104" spans="1:16" x14ac:dyDescent="0.45">
      <c r="A104" s="13"/>
      <c r="B104" s="13"/>
      <c r="C104" s="13"/>
      <c r="D104" s="14"/>
      <c r="E104" s="13"/>
      <c r="F104" s="13"/>
      <c r="G104" s="13"/>
      <c r="H104" s="15" t="str">
        <f t="shared" si="6"/>
        <v/>
      </c>
      <c r="I104" s="13"/>
      <c r="J104" s="13"/>
      <c r="K104" s="16"/>
      <c r="L104" s="17" t="str">
        <f>IF(B104="","",MAX(0,IF(K104="",0,K104)-SUMIF('Usage Log'!$B$4:$B$503,B104,'Usage Log'!$C$4:$C$503)))</f>
        <v/>
      </c>
      <c r="M104" s="18" t="str">
        <f t="shared" si="7"/>
        <v/>
      </c>
      <c r="N104" s="15" t="str">
        <f>IF(B104="","",IF(L104&lt;=0,"consumed",IF(OR(L104&lt;Settings!$B$5,AND(K104&gt;0,L104/K104&lt;Settings!$B$6)),"low","active")))</f>
        <v/>
      </c>
      <c r="O104" s="14"/>
      <c r="P104" s="14"/>
    </row>
    <row r="105" spans="1:16" x14ac:dyDescent="0.45">
      <c r="A105" s="13"/>
      <c r="B105" s="13"/>
      <c r="C105" s="13"/>
      <c r="D105" s="14"/>
      <c r="E105" s="13"/>
      <c r="F105" s="13"/>
      <c r="G105" s="13"/>
      <c r="H105" s="15" t="str">
        <f t="shared" si="6"/>
        <v/>
      </c>
      <c r="I105" s="13"/>
      <c r="J105" s="13"/>
      <c r="K105" s="16"/>
      <c r="L105" s="17" t="str">
        <f>IF(B105="","",MAX(0,IF(K105="",0,K105)-SUMIF('Usage Log'!$B$4:$B$503,B105,'Usage Log'!$C$4:$C$503)))</f>
        <v/>
      </c>
      <c r="M105" s="18" t="str">
        <f t="shared" si="7"/>
        <v/>
      </c>
      <c r="N105" s="15" t="str">
        <f>IF(B105="","",IF(L105&lt;=0,"consumed",IF(OR(L105&lt;Settings!$B$5,AND(K105&gt;0,L105/K105&lt;Settings!$B$6)),"low","active")))</f>
        <v/>
      </c>
      <c r="O105" s="14"/>
      <c r="P105" s="14"/>
    </row>
    <row r="106" spans="1:16" x14ac:dyDescent="0.45">
      <c r="A106" s="13"/>
      <c r="B106" s="13"/>
      <c r="C106" s="13"/>
      <c r="D106" s="14"/>
      <c r="E106" s="13"/>
      <c r="F106" s="13"/>
      <c r="G106" s="13"/>
      <c r="H106" s="15" t="str">
        <f t="shared" si="6"/>
        <v/>
      </c>
      <c r="I106" s="13"/>
      <c r="J106" s="13"/>
      <c r="K106" s="16"/>
      <c r="L106" s="17" t="str">
        <f>IF(B106="","",MAX(0,IF(K106="",0,K106)-SUMIF('Usage Log'!$B$4:$B$503,B106,'Usage Log'!$C$4:$C$503)))</f>
        <v/>
      </c>
      <c r="M106" s="18" t="str">
        <f t="shared" si="7"/>
        <v/>
      </c>
      <c r="N106" s="15" t="str">
        <f>IF(B106="","",IF(L106&lt;=0,"consumed",IF(OR(L106&lt;Settings!$B$5,AND(K106&gt;0,L106/K106&lt;Settings!$B$6)),"low","active")))</f>
        <v/>
      </c>
      <c r="O106" s="14"/>
      <c r="P106" s="14"/>
    </row>
    <row r="107" spans="1:16" x14ac:dyDescent="0.45">
      <c r="A107" s="13"/>
      <c r="B107" s="13"/>
      <c r="C107" s="13"/>
      <c r="D107" s="14"/>
      <c r="E107" s="13"/>
      <c r="F107" s="13"/>
      <c r="G107" s="13"/>
      <c r="H107" s="15" t="str">
        <f t="shared" si="6"/>
        <v/>
      </c>
      <c r="I107" s="13"/>
      <c r="J107" s="13"/>
      <c r="K107" s="16"/>
      <c r="L107" s="17" t="str">
        <f>IF(B107="","",MAX(0,IF(K107="",0,K107)-SUMIF('Usage Log'!$B$4:$B$503,B107,'Usage Log'!$C$4:$C$503)))</f>
        <v/>
      </c>
      <c r="M107" s="18" t="str">
        <f t="shared" si="7"/>
        <v/>
      </c>
      <c r="N107" s="15" t="str">
        <f>IF(B107="","",IF(L107&lt;=0,"consumed",IF(OR(L107&lt;Settings!$B$5,AND(K107&gt;0,L107/K107&lt;Settings!$B$6)),"low","active")))</f>
        <v/>
      </c>
      <c r="O107" s="14"/>
      <c r="P107" s="14"/>
    </row>
    <row r="108" spans="1:16" x14ac:dyDescent="0.45">
      <c r="A108" s="13"/>
      <c r="B108" s="13"/>
      <c r="C108" s="13"/>
      <c r="D108" s="14"/>
      <c r="E108" s="13"/>
      <c r="F108" s="13"/>
      <c r="G108" s="13"/>
      <c r="H108" s="15" t="str">
        <f t="shared" si="6"/>
        <v/>
      </c>
      <c r="I108" s="13"/>
      <c r="J108" s="13"/>
      <c r="K108" s="16"/>
      <c r="L108" s="17" t="str">
        <f>IF(B108="","",MAX(0,IF(K108="",0,K108)-SUMIF('Usage Log'!$B$4:$B$503,B108,'Usage Log'!$C$4:$C$503)))</f>
        <v/>
      </c>
      <c r="M108" s="18" t="str">
        <f t="shared" si="7"/>
        <v/>
      </c>
      <c r="N108" s="15" t="str">
        <f>IF(B108="","",IF(L108&lt;=0,"consumed",IF(OR(L108&lt;Settings!$B$5,AND(K108&gt;0,L108/K108&lt;Settings!$B$6)),"low","active")))</f>
        <v/>
      </c>
      <c r="O108" s="14"/>
      <c r="P108" s="14"/>
    </row>
    <row r="109" spans="1:16" x14ac:dyDescent="0.45">
      <c r="A109" s="13"/>
      <c r="B109" s="13"/>
      <c r="C109" s="13"/>
      <c r="D109" s="14"/>
      <c r="E109" s="13"/>
      <c r="F109" s="13"/>
      <c r="G109" s="13"/>
      <c r="H109" s="15" t="str">
        <f t="shared" si="6"/>
        <v/>
      </c>
      <c r="I109" s="13"/>
      <c r="J109" s="13"/>
      <c r="K109" s="16"/>
      <c r="L109" s="17" t="str">
        <f>IF(B109="","",MAX(0,IF(K109="",0,K109)-SUMIF('Usage Log'!$B$4:$B$503,B109,'Usage Log'!$C$4:$C$503)))</f>
        <v/>
      </c>
      <c r="M109" s="18" t="str">
        <f t="shared" si="7"/>
        <v/>
      </c>
      <c r="N109" s="15" t="str">
        <f>IF(B109="","",IF(L109&lt;=0,"consumed",IF(OR(L109&lt;Settings!$B$5,AND(K109&gt;0,L109/K109&lt;Settings!$B$6)),"low","active")))</f>
        <v/>
      </c>
      <c r="O109" s="14"/>
      <c r="P109" s="14"/>
    </row>
    <row r="110" spans="1:16" x14ac:dyDescent="0.45">
      <c r="A110" s="13"/>
      <c r="B110" s="13"/>
      <c r="C110" s="13"/>
      <c r="D110" s="14"/>
      <c r="E110" s="13"/>
      <c r="F110" s="13"/>
      <c r="G110" s="13"/>
      <c r="H110" s="15" t="str">
        <f t="shared" si="6"/>
        <v/>
      </c>
      <c r="I110" s="13"/>
      <c r="J110" s="13"/>
      <c r="K110" s="16"/>
      <c r="L110" s="17" t="str">
        <f>IF(B110="","",MAX(0,IF(K110="",0,K110)-SUMIF('Usage Log'!$B$4:$B$503,B110,'Usage Log'!$C$4:$C$503)))</f>
        <v/>
      </c>
      <c r="M110" s="18" t="str">
        <f t="shared" si="7"/>
        <v/>
      </c>
      <c r="N110" s="15" t="str">
        <f>IF(B110="","",IF(L110&lt;=0,"consumed",IF(OR(L110&lt;Settings!$B$5,AND(K110&gt;0,L110/K110&lt;Settings!$B$6)),"low","active")))</f>
        <v/>
      </c>
      <c r="O110" s="14"/>
      <c r="P110" s="14"/>
    </row>
    <row r="111" spans="1:16" x14ac:dyDescent="0.45">
      <c r="A111" s="13"/>
      <c r="B111" s="13"/>
      <c r="C111" s="13"/>
      <c r="D111" s="14"/>
      <c r="E111" s="13"/>
      <c r="F111" s="13"/>
      <c r="G111" s="13"/>
      <c r="H111" s="15" t="str">
        <f t="shared" si="6"/>
        <v/>
      </c>
      <c r="I111" s="13"/>
      <c r="J111" s="13"/>
      <c r="K111" s="16"/>
      <c r="L111" s="17" t="str">
        <f>IF(B111="","",MAX(0,IF(K111="",0,K111)-SUMIF('Usage Log'!$B$4:$B$503,B111,'Usage Log'!$C$4:$C$503)))</f>
        <v/>
      </c>
      <c r="M111" s="18" t="str">
        <f t="shared" si="7"/>
        <v/>
      </c>
      <c r="N111" s="15" t="str">
        <f>IF(B111="","",IF(L111&lt;=0,"consumed",IF(OR(L111&lt;Settings!$B$5,AND(K111&gt;0,L111/K111&lt;Settings!$B$6)),"low","active")))</f>
        <v/>
      </c>
      <c r="O111" s="14"/>
      <c r="P111" s="14"/>
    </row>
    <row r="112" spans="1:16" x14ac:dyDescent="0.45">
      <c r="A112" s="13"/>
      <c r="B112" s="13"/>
      <c r="C112" s="13"/>
      <c r="D112" s="14"/>
      <c r="E112" s="13"/>
      <c r="F112" s="13"/>
      <c r="G112" s="13"/>
      <c r="H112" s="15" t="str">
        <f t="shared" si="6"/>
        <v/>
      </c>
      <c r="I112" s="13"/>
      <c r="J112" s="13"/>
      <c r="K112" s="16"/>
      <c r="L112" s="17" t="str">
        <f>IF(B112="","",MAX(0,IF(K112="",0,K112)-SUMIF('Usage Log'!$B$4:$B$503,B112,'Usage Log'!$C$4:$C$503)))</f>
        <v/>
      </c>
      <c r="M112" s="18" t="str">
        <f t="shared" si="7"/>
        <v/>
      </c>
      <c r="N112" s="15" t="str">
        <f>IF(B112="","",IF(L112&lt;=0,"consumed",IF(OR(L112&lt;Settings!$B$5,AND(K112&gt;0,L112/K112&lt;Settings!$B$6)),"low","active")))</f>
        <v/>
      </c>
      <c r="O112" s="14"/>
      <c r="P112" s="14"/>
    </row>
    <row r="113" spans="1:16" x14ac:dyDescent="0.45">
      <c r="A113" s="13"/>
      <c r="B113" s="13"/>
      <c r="C113" s="13"/>
      <c r="D113" s="14"/>
      <c r="E113" s="13"/>
      <c r="F113" s="13"/>
      <c r="G113" s="13"/>
      <c r="H113" s="15" t="str">
        <f t="shared" si="6"/>
        <v/>
      </c>
      <c r="I113" s="13"/>
      <c r="J113" s="13"/>
      <c r="K113" s="16"/>
      <c r="L113" s="17" t="str">
        <f>IF(B113="","",MAX(0,IF(K113="",0,K113)-SUMIF('Usage Log'!$B$4:$B$503,B113,'Usage Log'!$C$4:$C$503)))</f>
        <v/>
      </c>
      <c r="M113" s="18" t="str">
        <f t="shared" si="7"/>
        <v/>
      </c>
      <c r="N113" s="15" t="str">
        <f>IF(B113="","",IF(L113&lt;=0,"consumed",IF(OR(L113&lt;Settings!$B$5,AND(K113&gt;0,L113/K113&lt;Settings!$B$6)),"low","active")))</f>
        <v/>
      </c>
      <c r="O113" s="14"/>
      <c r="P113" s="14"/>
    </row>
    <row r="114" spans="1:16" x14ac:dyDescent="0.45">
      <c r="A114" s="13"/>
      <c r="B114" s="13"/>
      <c r="C114" s="13"/>
      <c r="D114" s="14"/>
      <c r="E114" s="13"/>
      <c r="F114" s="13"/>
      <c r="G114" s="13"/>
      <c r="H114" s="15" t="str">
        <f t="shared" si="6"/>
        <v/>
      </c>
      <c r="I114" s="13"/>
      <c r="J114" s="13"/>
      <c r="K114" s="16"/>
      <c r="L114" s="17" t="str">
        <f>IF(B114="","",MAX(0,IF(K114="",0,K114)-SUMIF('Usage Log'!$B$4:$B$503,B114,'Usage Log'!$C$4:$C$503)))</f>
        <v/>
      </c>
      <c r="M114" s="18" t="str">
        <f t="shared" si="7"/>
        <v/>
      </c>
      <c r="N114" s="15" t="str">
        <f>IF(B114="","",IF(L114&lt;=0,"consumed",IF(OR(L114&lt;Settings!$B$5,AND(K114&gt;0,L114/K114&lt;Settings!$B$6)),"low","active")))</f>
        <v/>
      </c>
      <c r="O114" s="14"/>
      <c r="P114" s="14"/>
    </row>
    <row r="115" spans="1:16" x14ac:dyDescent="0.45">
      <c r="A115" s="13"/>
      <c r="B115" s="13"/>
      <c r="C115" s="13"/>
      <c r="D115" s="14"/>
      <c r="E115" s="13"/>
      <c r="F115" s="13"/>
      <c r="G115" s="13"/>
      <c r="H115" s="15" t="str">
        <f t="shared" si="6"/>
        <v/>
      </c>
      <c r="I115" s="13"/>
      <c r="J115" s="13"/>
      <c r="K115" s="16"/>
      <c r="L115" s="17" t="str">
        <f>IF(B115="","",MAX(0,IF(K115="",0,K115)-SUMIF('Usage Log'!$B$4:$B$503,B115,'Usage Log'!$C$4:$C$503)))</f>
        <v/>
      </c>
      <c r="M115" s="18" t="str">
        <f t="shared" si="7"/>
        <v/>
      </c>
      <c r="N115" s="15" t="str">
        <f>IF(B115="","",IF(L115&lt;=0,"consumed",IF(OR(L115&lt;Settings!$B$5,AND(K115&gt;0,L115/K115&lt;Settings!$B$6)),"low","active")))</f>
        <v/>
      </c>
      <c r="O115" s="14"/>
      <c r="P115" s="14"/>
    </row>
    <row r="116" spans="1:16" x14ac:dyDescent="0.45">
      <c r="A116" s="13"/>
      <c r="B116" s="13"/>
      <c r="C116" s="13"/>
      <c r="D116" s="14"/>
      <c r="E116" s="13"/>
      <c r="F116" s="13"/>
      <c r="G116" s="13"/>
      <c r="H116" s="15" t="str">
        <f t="shared" si="6"/>
        <v/>
      </c>
      <c r="I116" s="13"/>
      <c r="J116" s="13"/>
      <c r="K116" s="16"/>
      <c r="L116" s="17" t="str">
        <f>IF(B116="","",MAX(0,IF(K116="",0,K116)-SUMIF('Usage Log'!$B$4:$B$503,B116,'Usage Log'!$C$4:$C$503)))</f>
        <v/>
      </c>
      <c r="M116" s="18" t="str">
        <f t="shared" si="7"/>
        <v/>
      </c>
      <c r="N116" s="15" t="str">
        <f>IF(B116="","",IF(L116&lt;=0,"consumed",IF(OR(L116&lt;Settings!$B$5,AND(K116&gt;0,L116/K116&lt;Settings!$B$6)),"low","active")))</f>
        <v/>
      </c>
      <c r="O116" s="14"/>
      <c r="P116" s="14"/>
    </row>
    <row r="117" spans="1:16" x14ac:dyDescent="0.45">
      <c r="A117" s="13"/>
      <c r="B117" s="13"/>
      <c r="C117" s="13"/>
      <c r="D117" s="14"/>
      <c r="E117" s="13"/>
      <c r="F117" s="13"/>
      <c r="G117" s="13"/>
      <c r="H117" s="15" t="str">
        <f t="shared" si="6"/>
        <v/>
      </c>
      <c r="I117" s="13"/>
      <c r="J117" s="13"/>
      <c r="K117" s="16"/>
      <c r="L117" s="17" t="str">
        <f>IF(B117="","",MAX(0,IF(K117="",0,K117)-SUMIF('Usage Log'!$B$4:$B$503,B117,'Usage Log'!$C$4:$C$503)))</f>
        <v/>
      </c>
      <c r="M117" s="18" t="str">
        <f t="shared" si="7"/>
        <v/>
      </c>
      <c r="N117" s="15" t="str">
        <f>IF(B117="","",IF(L117&lt;=0,"consumed",IF(OR(L117&lt;Settings!$B$5,AND(K117&gt;0,L117/K117&lt;Settings!$B$6)),"low","active")))</f>
        <v/>
      </c>
      <c r="O117" s="14"/>
      <c r="P117" s="14"/>
    </row>
    <row r="118" spans="1:16" x14ac:dyDescent="0.45">
      <c r="A118" s="13"/>
      <c r="B118" s="13"/>
      <c r="C118" s="13"/>
      <c r="D118" s="14"/>
      <c r="E118" s="13"/>
      <c r="F118" s="13"/>
      <c r="G118" s="13"/>
      <c r="H118" s="15" t="str">
        <f t="shared" si="6"/>
        <v/>
      </c>
      <c r="I118" s="13"/>
      <c r="J118" s="13"/>
      <c r="K118" s="16"/>
      <c r="L118" s="17" t="str">
        <f>IF(B118="","",MAX(0,IF(K118="",0,K118)-SUMIF('Usage Log'!$B$4:$B$503,B118,'Usage Log'!$C$4:$C$503)))</f>
        <v/>
      </c>
      <c r="M118" s="18" t="str">
        <f t="shared" si="7"/>
        <v/>
      </c>
      <c r="N118" s="15" t="str">
        <f>IF(B118="","",IF(L118&lt;=0,"consumed",IF(OR(L118&lt;Settings!$B$5,AND(K118&gt;0,L118/K118&lt;Settings!$B$6)),"low","active")))</f>
        <v/>
      </c>
      <c r="O118" s="14"/>
      <c r="P118" s="14"/>
    </row>
    <row r="119" spans="1:16" x14ac:dyDescent="0.45">
      <c r="A119" s="13"/>
      <c r="B119" s="13"/>
      <c r="C119" s="13"/>
      <c r="D119" s="14"/>
      <c r="E119" s="13"/>
      <c r="F119" s="13"/>
      <c r="G119" s="13"/>
      <c r="H119" s="15" t="str">
        <f t="shared" si="6"/>
        <v/>
      </c>
      <c r="I119" s="13"/>
      <c r="J119" s="13"/>
      <c r="K119" s="16"/>
      <c r="L119" s="17" t="str">
        <f>IF(B119="","",MAX(0,IF(K119="",0,K119)-SUMIF('Usage Log'!$B$4:$B$503,B119,'Usage Log'!$C$4:$C$503)))</f>
        <v/>
      </c>
      <c r="M119" s="18" t="str">
        <f t="shared" si="7"/>
        <v/>
      </c>
      <c r="N119" s="15" t="str">
        <f>IF(B119="","",IF(L119&lt;=0,"consumed",IF(OR(L119&lt;Settings!$B$5,AND(K119&gt;0,L119/K119&lt;Settings!$B$6)),"low","active")))</f>
        <v/>
      </c>
      <c r="O119" s="14"/>
      <c r="P119" s="14"/>
    </row>
    <row r="120" spans="1:16" x14ac:dyDescent="0.45">
      <c r="A120" s="13"/>
      <c r="B120" s="13"/>
      <c r="C120" s="13"/>
      <c r="D120" s="14"/>
      <c r="E120" s="13"/>
      <c r="F120" s="13"/>
      <c r="G120" s="13"/>
      <c r="H120" s="15" t="str">
        <f t="shared" si="6"/>
        <v/>
      </c>
      <c r="I120" s="13"/>
      <c r="J120" s="13"/>
      <c r="K120" s="16"/>
      <c r="L120" s="17" t="str">
        <f>IF(B120="","",MAX(0,IF(K120="",0,K120)-SUMIF('Usage Log'!$B$4:$B$503,B120,'Usage Log'!$C$4:$C$503)))</f>
        <v/>
      </c>
      <c r="M120" s="18" t="str">
        <f t="shared" si="7"/>
        <v/>
      </c>
      <c r="N120" s="15" t="str">
        <f>IF(B120="","",IF(L120&lt;=0,"consumed",IF(OR(L120&lt;Settings!$B$5,AND(K120&gt;0,L120/K120&lt;Settings!$B$6)),"low","active")))</f>
        <v/>
      </c>
      <c r="O120" s="14"/>
      <c r="P120" s="14"/>
    </row>
    <row r="121" spans="1:16" x14ac:dyDescent="0.45">
      <c r="A121" s="13"/>
      <c r="B121" s="13"/>
      <c r="C121" s="13"/>
      <c r="D121" s="14"/>
      <c r="E121" s="13"/>
      <c r="F121" s="13"/>
      <c r="G121" s="13"/>
      <c r="H121" s="15" t="str">
        <f t="shared" si="6"/>
        <v/>
      </c>
      <c r="I121" s="13"/>
      <c r="J121" s="13"/>
      <c r="K121" s="16"/>
      <c r="L121" s="17" t="str">
        <f>IF(B121="","",MAX(0,IF(K121="",0,K121)-SUMIF('Usage Log'!$B$4:$B$503,B121,'Usage Log'!$C$4:$C$503)))</f>
        <v/>
      </c>
      <c r="M121" s="18" t="str">
        <f t="shared" si="7"/>
        <v/>
      </c>
      <c r="N121" s="15" t="str">
        <f>IF(B121="","",IF(L121&lt;=0,"consumed",IF(OR(L121&lt;Settings!$B$5,AND(K121&gt;0,L121/K121&lt;Settings!$B$6)),"low","active")))</f>
        <v/>
      </c>
      <c r="O121" s="14"/>
      <c r="P121" s="14"/>
    </row>
    <row r="122" spans="1:16" x14ac:dyDescent="0.45">
      <c r="A122" s="13"/>
      <c r="B122" s="13"/>
      <c r="C122" s="13"/>
      <c r="D122" s="14"/>
      <c r="E122" s="13"/>
      <c r="F122" s="13"/>
      <c r="G122" s="13"/>
      <c r="H122" s="15" t="str">
        <f t="shared" si="6"/>
        <v/>
      </c>
      <c r="I122" s="13"/>
      <c r="J122" s="13"/>
      <c r="K122" s="16"/>
      <c r="L122" s="17" t="str">
        <f>IF(B122="","",MAX(0,IF(K122="",0,K122)-SUMIF('Usage Log'!$B$4:$B$503,B122,'Usage Log'!$C$4:$C$503)))</f>
        <v/>
      </c>
      <c r="M122" s="18" t="str">
        <f t="shared" si="7"/>
        <v/>
      </c>
      <c r="N122" s="15" t="str">
        <f>IF(B122="","",IF(L122&lt;=0,"consumed",IF(OR(L122&lt;Settings!$B$5,AND(K122&gt;0,L122/K122&lt;Settings!$B$6)),"low","active")))</f>
        <v/>
      </c>
      <c r="O122" s="14"/>
      <c r="P122" s="14"/>
    </row>
    <row r="123" spans="1:16" x14ac:dyDescent="0.45">
      <c r="A123" s="13"/>
      <c r="B123" s="13"/>
      <c r="C123" s="13"/>
      <c r="D123" s="14"/>
      <c r="E123" s="13"/>
      <c r="F123" s="13"/>
      <c r="G123" s="13"/>
      <c r="H123" s="15" t="str">
        <f t="shared" si="6"/>
        <v/>
      </c>
      <c r="I123" s="13"/>
      <c r="J123" s="13"/>
      <c r="K123" s="16"/>
      <c r="L123" s="17" t="str">
        <f>IF(B123="","",MAX(0,IF(K123="",0,K123)-SUMIF('Usage Log'!$B$4:$B$503,B123,'Usage Log'!$C$4:$C$503)))</f>
        <v/>
      </c>
      <c r="M123" s="18" t="str">
        <f t="shared" si="7"/>
        <v/>
      </c>
      <c r="N123" s="15" t="str">
        <f>IF(B123="","",IF(L123&lt;=0,"consumed",IF(OR(L123&lt;Settings!$B$5,AND(K123&gt;0,L123/K123&lt;Settings!$B$6)),"low","active")))</f>
        <v/>
      </c>
      <c r="O123" s="14"/>
      <c r="P123" s="14"/>
    </row>
    <row r="124" spans="1:16" x14ac:dyDescent="0.45">
      <c r="A124" s="13"/>
      <c r="B124" s="13"/>
      <c r="C124" s="13"/>
      <c r="D124" s="14"/>
      <c r="E124" s="13"/>
      <c r="F124" s="13"/>
      <c r="G124" s="13"/>
      <c r="H124" s="15" t="str">
        <f t="shared" si="6"/>
        <v/>
      </c>
      <c r="I124" s="13"/>
      <c r="J124" s="13"/>
      <c r="K124" s="16"/>
      <c r="L124" s="17" t="str">
        <f>IF(B124="","",MAX(0,IF(K124="",0,K124)-SUMIF('Usage Log'!$B$4:$B$503,B124,'Usage Log'!$C$4:$C$503)))</f>
        <v/>
      </c>
      <c r="M124" s="18" t="str">
        <f t="shared" si="7"/>
        <v/>
      </c>
      <c r="N124" s="15" t="str">
        <f>IF(B124="","",IF(L124&lt;=0,"consumed",IF(OR(L124&lt;Settings!$B$5,AND(K124&gt;0,L124/K124&lt;Settings!$B$6)),"low","active")))</f>
        <v/>
      </c>
      <c r="O124" s="14"/>
      <c r="P124" s="14"/>
    </row>
    <row r="125" spans="1:16" x14ac:dyDescent="0.45">
      <c r="A125" s="13"/>
      <c r="B125" s="13"/>
      <c r="C125" s="13"/>
      <c r="D125" s="14"/>
      <c r="E125" s="13"/>
      <c r="F125" s="13"/>
      <c r="G125" s="13"/>
      <c r="H125" s="15" t="str">
        <f t="shared" si="6"/>
        <v/>
      </c>
      <c r="I125" s="13"/>
      <c r="J125" s="13"/>
      <c r="K125" s="16"/>
      <c r="L125" s="17" t="str">
        <f>IF(B125="","",MAX(0,IF(K125="",0,K125)-SUMIF('Usage Log'!$B$4:$B$503,B125,'Usage Log'!$C$4:$C$503)))</f>
        <v/>
      </c>
      <c r="M125" s="18" t="str">
        <f t="shared" si="7"/>
        <v/>
      </c>
      <c r="N125" s="15" t="str">
        <f>IF(B125="","",IF(L125&lt;=0,"consumed",IF(OR(L125&lt;Settings!$B$5,AND(K125&gt;0,L125/K125&lt;Settings!$B$6)),"low","active")))</f>
        <v/>
      </c>
      <c r="O125" s="14"/>
      <c r="P125" s="14"/>
    </row>
    <row r="126" spans="1:16" x14ac:dyDescent="0.45">
      <c r="A126" s="13"/>
      <c r="B126" s="13"/>
      <c r="C126" s="13"/>
      <c r="D126" s="14"/>
      <c r="E126" s="13"/>
      <c r="F126" s="13"/>
      <c r="G126" s="13"/>
      <c r="H126" s="15" t="str">
        <f t="shared" si="6"/>
        <v/>
      </c>
      <c r="I126" s="13"/>
      <c r="J126" s="13"/>
      <c r="K126" s="16"/>
      <c r="L126" s="17" t="str">
        <f>IF(B126="","",MAX(0,IF(K126="",0,K126)-SUMIF('Usage Log'!$B$4:$B$503,B126,'Usage Log'!$C$4:$C$503)))</f>
        <v/>
      </c>
      <c r="M126" s="18" t="str">
        <f t="shared" si="7"/>
        <v/>
      </c>
      <c r="N126" s="15" t="str">
        <f>IF(B126="","",IF(L126&lt;=0,"consumed",IF(OR(L126&lt;Settings!$B$5,AND(K126&gt;0,L126/K126&lt;Settings!$B$6)),"low","active")))</f>
        <v/>
      </c>
      <c r="O126" s="14"/>
      <c r="P126" s="14"/>
    </row>
    <row r="127" spans="1:16" x14ac:dyDescent="0.45">
      <c r="A127" s="13"/>
      <c r="B127" s="13"/>
      <c r="C127" s="13"/>
      <c r="D127" s="14"/>
      <c r="E127" s="13"/>
      <c r="F127" s="13"/>
      <c r="G127" s="13"/>
      <c r="H127" s="15" t="str">
        <f t="shared" si="6"/>
        <v/>
      </c>
      <c r="I127" s="13"/>
      <c r="J127" s="13"/>
      <c r="K127" s="16"/>
      <c r="L127" s="17" t="str">
        <f>IF(B127="","",MAX(0,IF(K127="",0,K127)-SUMIF('Usage Log'!$B$4:$B$503,B127,'Usage Log'!$C$4:$C$503)))</f>
        <v/>
      </c>
      <c r="M127" s="18" t="str">
        <f t="shared" si="7"/>
        <v/>
      </c>
      <c r="N127" s="15" t="str">
        <f>IF(B127="","",IF(L127&lt;=0,"consumed",IF(OR(L127&lt;Settings!$B$5,AND(K127&gt;0,L127/K127&lt;Settings!$B$6)),"low","active")))</f>
        <v/>
      </c>
      <c r="O127" s="14"/>
      <c r="P127" s="14"/>
    </row>
    <row r="128" spans="1:16" x14ac:dyDescent="0.45">
      <c r="A128" s="13"/>
      <c r="B128" s="13"/>
      <c r="C128" s="13"/>
      <c r="D128" s="14"/>
      <c r="E128" s="13"/>
      <c r="F128" s="13"/>
      <c r="G128" s="13"/>
      <c r="H128" s="15" t="str">
        <f t="shared" si="6"/>
        <v/>
      </c>
      <c r="I128" s="13"/>
      <c r="J128" s="13"/>
      <c r="K128" s="16"/>
      <c r="L128" s="17" t="str">
        <f>IF(B128="","",MAX(0,IF(K128="",0,K128)-SUMIF('Usage Log'!$B$4:$B$503,B128,'Usage Log'!$C$4:$C$503)))</f>
        <v/>
      </c>
      <c r="M128" s="18" t="str">
        <f t="shared" si="7"/>
        <v/>
      </c>
      <c r="N128" s="15" t="str">
        <f>IF(B128="","",IF(L128&lt;=0,"consumed",IF(OR(L128&lt;Settings!$B$5,AND(K128&gt;0,L128/K128&lt;Settings!$B$6)),"low","active")))</f>
        <v/>
      </c>
      <c r="O128" s="14"/>
      <c r="P128" s="14"/>
    </row>
    <row r="129" spans="1:16" x14ac:dyDescent="0.45">
      <c r="A129" s="13"/>
      <c r="B129" s="13"/>
      <c r="C129" s="13"/>
      <c r="D129" s="14"/>
      <c r="E129" s="13"/>
      <c r="F129" s="13"/>
      <c r="G129" s="13"/>
      <c r="H129" s="15" t="str">
        <f t="shared" si="6"/>
        <v/>
      </c>
      <c r="I129" s="13"/>
      <c r="J129" s="13"/>
      <c r="K129" s="16"/>
      <c r="L129" s="17" t="str">
        <f>IF(B129="","",MAX(0,IF(K129="",0,K129)-SUMIF('Usage Log'!$B$4:$B$503,B129,'Usage Log'!$C$4:$C$503)))</f>
        <v/>
      </c>
      <c r="M129" s="18" t="str">
        <f t="shared" si="7"/>
        <v/>
      </c>
      <c r="N129" s="15" t="str">
        <f>IF(B129="","",IF(L129&lt;=0,"consumed",IF(OR(L129&lt;Settings!$B$5,AND(K129&gt;0,L129/K129&lt;Settings!$B$6)),"low","active")))</f>
        <v/>
      </c>
      <c r="O129" s="14"/>
      <c r="P129" s="14"/>
    </row>
    <row r="130" spans="1:16" x14ac:dyDescent="0.45">
      <c r="A130" s="13"/>
      <c r="B130" s="13"/>
      <c r="C130" s="13"/>
      <c r="D130" s="14"/>
      <c r="E130" s="13"/>
      <c r="F130" s="13"/>
      <c r="G130" s="13"/>
      <c r="H130" s="15" t="str">
        <f t="shared" si="6"/>
        <v/>
      </c>
      <c r="I130" s="13"/>
      <c r="J130" s="13"/>
      <c r="K130" s="16"/>
      <c r="L130" s="17" t="str">
        <f>IF(B130="","",MAX(0,IF(K130="",0,K130)-SUMIF('Usage Log'!$B$4:$B$503,B130,'Usage Log'!$C$4:$C$503)))</f>
        <v/>
      </c>
      <c r="M130" s="18" t="str">
        <f t="shared" si="7"/>
        <v/>
      </c>
      <c r="N130" s="15" t="str">
        <f>IF(B130="","",IF(L130&lt;=0,"consumed",IF(OR(L130&lt;Settings!$B$5,AND(K130&gt;0,L130/K130&lt;Settings!$B$6)),"low","active")))</f>
        <v/>
      </c>
      <c r="O130" s="14"/>
      <c r="P130" s="14"/>
    </row>
    <row r="131" spans="1:16" x14ac:dyDescent="0.45">
      <c r="A131" s="13"/>
      <c r="B131" s="13"/>
      <c r="C131" s="13"/>
      <c r="D131" s="14"/>
      <c r="E131" s="13"/>
      <c r="F131" s="13"/>
      <c r="G131" s="13"/>
      <c r="H131" s="15" t="str">
        <f t="shared" si="6"/>
        <v/>
      </c>
      <c r="I131" s="13"/>
      <c r="J131" s="13"/>
      <c r="K131" s="16"/>
      <c r="L131" s="17" t="str">
        <f>IF(B131="","",MAX(0,IF(K131="",0,K131)-SUMIF('Usage Log'!$B$4:$B$503,B131,'Usage Log'!$C$4:$C$503)))</f>
        <v/>
      </c>
      <c r="M131" s="18" t="str">
        <f t="shared" si="7"/>
        <v/>
      </c>
      <c r="N131" s="15" t="str">
        <f>IF(B131="","",IF(L131&lt;=0,"consumed",IF(OR(L131&lt;Settings!$B$5,AND(K131&gt;0,L131/K131&lt;Settings!$B$6)),"low","active")))</f>
        <v/>
      </c>
      <c r="O131" s="14"/>
      <c r="P131" s="14"/>
    </row>
    <row r="132" spans="1:16" x14ac:dyDescent="0.45">
      <c r="A132" s="13"/>
      <c r="B132" s="13"/>
      <c r="C132" s="13"/>
      <c r="D132" s="14"/>
      <c r="E132" s="13"/>
      <c r="F132" s="13"/>
      <c r="G132" s="13"/>
      <c r="H132" s="15" t="str">
        <f t="shared" ref="H132:H163" si="8">IF(G132="","",ROUND(G132/25.4,3))</f>
        <v/>
      </c>
      <c r="I132" s="13"/>
      <c r="J132" s="13"/>
      <c r="K132" s="16"/>
      <c r="L132" s="17" t="str">
        <f>IF(B132="","",MAX(0,IF(K132="",0,K132)-SUMIF('Usage Log'!$B$4:$B$503,B132,'Usage Log'!$C$4:$C$503)))</f>
        <v/>
      </c>
      <c r="M132" s="18" t="str">
        <f t="shared" ref="M132:M163" si="9">IF(B132="","",IF(K132="",0,K132)-L132)</f>
        <v/>
      </c>
      <c r="N132" s="15" t="str">
        <f>IF(B132="","",IF(L132&lt;=0,"consumed",IF(OR(L132&lt;Settings!$B$5,AND(K132&gt;0,L132/K132&lt;Settings!$B$6)),"low","active")))</f>
        <v/>
      </c>
      <c r="O132" s="14"/>
      <c r="P132" s="14"/>
    </row>
    <row r="133" spans="1:16" x14ac:dyDescent="0.45">
      <c r="A133" s="13"/>
      <c r="B133" s="13"/>
      <c r="C133" s="13"/>
      <c r="D133" s="14"/>
      <c r="E133" s="13"/>
      <c r="F133" s="13"/>
      <c r="G133" s="13"/>
      <c r="H133" s="15" t="str">
        <f t="shared" si="8"/>
        <v/>
      </c>
      <c r="I133" s="13"/>
      <c r="J133" s="13"/>
      <c r="K133" s="16"/>
      <c r="L133" s="17" t="str">
        <f>IF(B133="","",MAX(0,IF(K133="",0,K133)-SUMIF('Usage Log'!$B$4:$B$503,B133,'Usage Log'!$C$4:$C$503)))</f>
        <v/>
      </c>
      <c r="M133" s="18" t="str">
        <f t="shared" si="9"/>
        <v/>
      </c>
      <c r="N133" s="15" t="str">
        <f>IF(B133="","",IF(L133&lt;=0,"consumed",IF(OR(L133&lt;Settings!$B$5,AND(K133&gt;0,L133/K133&lt;Settings!$B$6)),"low","active")))</f>
        <v/>
      </c>
      <c r="O133" s="14"/>
      <c r="P133" s="14"/>
    </row>
    <row r="134" spans="1:16" x14ac:dyDescent="0.45">
      <c r="A134" s="13"/>
      <c r="B134" s="13"/>
      <c r="C134" s="13"/>
      <c r="D134" s="14"/>
      <c r="E134" s="13"/>
      <c r="F134" s="13"/>
      <c r="G134" s="13"/>
      <c r="H134" s="15" t="str">
        <f t="shared" si="8"/>
        <v/>
      </c>
      <c r="I134" s="13"/>
      <c r="J134" s="13"/>
      <c r="K134" s="16"/>
      <c r="L134" s="17" t="str">
        <f>IF(B134="","",MAX(0,IF(K134="",0,K134)-SUMIF('Usage Log'!$B$4:$B$503,B134,'Usage Log'!$C$4:$C$503)))</f>
        <v/>
      </c>
      <c r="M134" s="18" t="str">
        <f t="shared" si="9"/>
        <v/>
      </c>
      <c r="N134" s="15" t="str">
        <f>IF(B134="","",IF(L134&lt;=0,"consumed",IF(OR(L134&lt;Settings!$B$5,AND(K134&gt;0,L134/K134&lt;Settings!$B$6)),"low","active")))</f>
        <v/>
      </c>
      <c r="O134" s="14"/>
      <c r="P134" s="14"/>
    </row>
    <row r="135" spans="1:16" x14ac:dyDescent="0.45">
      <c r="A135" s="13"/>
      <c r="B135" s="13"/>
      <c r="C135" s="13"/>
      <c r="D135" s="14"/>
      <c r="E135" s="13"/>
      <c r="F135" s="13"/>
      <c r="G135" s="13"/>
      <c r="H135" s="15" t="str">
        <f t="shared" si="8"/>
        <v/>
      </c>
      <c r="I135" s="13"/>
      <c r="J135" s="13"/>
      <c r="K135" s="16"/>
      <c r="L135" s="17" t="str">
        <f>IF(B135="","",MAX(0,IF(K135="",0,K135)-SUMIF('Usage Log'!$B$4:$B$503,B135,'Usage Log'!$C$4:$C$503)))</f>
        <v/>
      </c>
      <c r="M135" s="18" t="str">
        <f t="shared" si="9"/>
        <v/>
      </c>
      <c r="N135" s="15" t="str">
        <f>IF(B135="","",IF(L135&lt;=0,"consumed",IF(OR(L135&lt;Settings!$B$5,AND(K135&gt;0,L135/K135&lt;Settings!$B$6)),"low","active")))</f>
        <v/>
      </c>
      <c r="O135" s="14"/>
      <c r="P135" s="14"/>
    </row>
    <row r="136" spans="1:16" x14ac:dyDescent="0.45">
      <c r="A136" s="13"/>
      <c r="B136" s="13"/>
      <c r="C136" s="13"/>
      <c r="D136" s="14"/>
      <c r="E136" s="13"/>
      <c r="F136" s="13"/>
      <c r="G136" s="13"/>
      <c r="H136" s="15" t="str">
        <f t="shared" si="8"/>
        <v/>
      </c>
      <c r="I136" s="13"/>
      <c r="J136" s="13"/>
      <c r="K136" s="16"/>
      <c r="L136" s="17" t="str">
        <f>IF(B136="","",MAX(0,IF(K136="",0,K136)-SUMIF('Usage Log'!$B$4:$B$503,B136,'Usage Log'!$C$4:$C$503)))</f>
        <v/>
      </c>
      <c r="M136" s="18" t="str">
        <f t="shared" si="9"/>
        <v/>
      </c>
      <c r="N136" s="15" t="str">
        <f>IF(B136="","",IF(L136&lt;=0,"consumed",IF(OR(L136&lt;Settings!$B$5,AND(K136&gt;0,L136/K136&lt;Settings!$B$6)),"low","active")))</f>
        <v/>
      </c>
      <c r="O136" s="14"/>
      <c r="P136" s="14"/>
    </row>
    <row r="137" spans="1:16" x14ac:dyDescent="0.45">
      <c r="A137" s="13"/>
      <c r="B137" s="13"/>
      <c r="C137" s="13"/>
      <c r="D137" s="14"/>
      <c r="E137" s="13"/>
      <c r="F137" s="13"/>
      <c r="G137" s="13"/>
      <c r="H137" s="15" t="str">
        <f t="shared" si="8"/>
        <v/>
      </c>
      <c r="I137" s="13"/>
      <c r="J137" s="13"/>
      <c r="K137" s="16"/>
      <c r="L137" s="17" t="str">
        <f>IF(B137="","",MAX(0,IF(K137="",0,K137)-SUMIF('Usage Log'!$B$4:$B$503,B137,'Usage Log'!$C$4:$C$503)))</f>
        <v/>
      </c>
      <c r="M137" s="18" t="str">
        <f t="shared" si="9"/>
        <v/>
      </c>
      <c r="N137" s="15" t="str">
        <f>IF(B137="","",IF(L137&lt;=0,"consumed",IF(OR(L137&lt;Settings!$B$5,AND(K137&gt;0,L137/K137&lt;Settings!$B$6)),"low","active")))</f>
        <v/>
      </c>
      <c r="O137" s="14"/>
      <c r="P137" s="14"/>
    </row>
    <row r="138" spans="1:16" x14ac:dyDescent="0.45">
      <c r="A138" s="13"/>
      <c r="B138" s="13"/>
      <c r="C138" s="13"/>
      <c r="D138" s="14"/>
      <c r="E138" s="13"/>
      <c r="F138" s="13"/>
      <c r="G138" s="13"/>
      <c r="H138" s="15" t="str">
        <f t="shared" si="8"/>
        <v/>
      </c>
      <c r="I138" s="13"/>
      <c r="J138" s="13"/>
      <c r="K138" s="16"/>
      <c r="L138" s="17" t="str">
        <f>IF(B138="","",MAX(0,IF(K138="",0,K138)-SUMIF('Usage Log'!$B$4:$B$503,B138,'Usage Log'!$C$4:$C$503)))</f>
        <v/>
      </c>
      <c r="M138" s="18" t="str">
        <f t="shared" si="9"/>
        <v/>
      </c>
      <c r="N138" s="15" t="str">
        <f>IF(B138="","",IF(L138&lt;=0,"consumed",IF(OR(L138&lt;Settings!$B$5,AND(K138&gt;0,L138/K138&lt;Settings!$B$6)),"low","active")))</f>
        <v/>
      </c>
      <c r="O138" s="14"/>
      <c r="P138" s="14"/>
    </row>
    <row r="139" spans="1:16" x14ac:dyDescent="0.45">
      <c r="A139" s="13"/>
      <c r="B139" s="13"/>
      <c r="C139" s="13"/>
      <c r="D139" s="14"/>
      <c r="E139" s="13"/>
      <c r="F139" s="13"/>
      <c r="G139" s="13"/>
      <c r="H139" s="15" t="str">
        <f t="shared" si="8"/>
        <v/>
      </c>
      <c r="I139" s="13"/>
      <c r="J139" s="13"/>
      <c r="K139" s="16"/>
      <c r="L139" s="17" t="str">
        <f>IF(B139="","",MAX(0,IF(K139="",0,K139)-SUMIF('Usage Log'!$B$4:$B$503,B139,'Usage Log'!$C$4:$C$503)))</f>
        <v/>
      </c>
      <c r="M139" s="18" t="str">
        <f t="shared" si="9"/>
        <v/>
      </c>
      <c r="N139" s="15" t="str">
        <f>IF(B139="","",IF(L139&lt;=0,"consumed",IF(OR(L139&lt;Settings!$B$5,AND(K139&gt;0,L139/K139&lt;Settings!$B$6)),"low","active")))</f>
        <v/>
      </c>
      <c r="O139" s="14"/>
      <c r="P139" s="14"/>
    </row>
    <row r="140" spans="1:16" x14ac:dyDescent="0.45">
      <c r="A140" s="13"/>
      <c r="B140" s="13"/>
      <c r="C140" s="13"/>
      <c r="D140" s="14"/>
      <c r="E140" s="13"/>
      <c r="F140" s="13"/>
      <c r="G140" s="13"/>
      <c r="H140" s="15" t="str">
        <f t="shared" si="8"/>
        <v/>
      </c>
      <c r="I140" s="13"/>
      <c r="J140" s="13"/>
      <c r="K140" s="16"/>
      <c r="L140" s="17" t="str">
        <f>IF(B140="","",MAX(0,IF(K140="",0,K140)-SUMIF('Usage Log'!$B$4:$B$503,B140,'Usage Log'!$C$4:$C$503)))</f>
        <v/>
      </c>
      <c r="M140" s="18" t="str">
        <f t="shared" si="9"/>
        <v/>
      </c>
      <c r="N140" s="15" t="str">
        <f>IF(B140="","",IF(L140&lt;=0,"consumed",IF(OR(L140&lt;Settings!$B$5,AND(K140&gt;0,L140/K140&lt;Settings!$B$6)),"low","active")))</f>
        <v/>
      </c>
      <c r="O140" s="14"/>
      <c r="P140" s="14"/>
    </row>
    <row r="141" spans="1:16" x14ac:dyDescent="0.45">
      <c r="A141" s="13"/>
      <c r="B141" s="13"/>
      <c r="C141" s="13"/>
      <c r="D141" s="14"/>
      <c r="E141" s="13"/>
      <c r="F141" s="13"/>
      <c r="G141" s="13"/>
      <c r="H141" s="15" t="str">
        <f t="shared" si="8"/>
        <v/>
      </c>
      <c r="I141" s="13"/>
      <c r="J141" s="13"/>
      <c r="K141" s="16"/>
      <c r="L141" s="17" t="str">
        <f>IF(B141="","",MAX(0,IF(K141="",0,K141)-SUMIF('Usage Log'!$B$4:$B$503,B141,'Usage Log'!$C$4:$C$503)))</f>
        <v/>
      </c>
      <c r="M141" s="18" t="str">
        <f t="shared" si="9"/>
        <v/>
      </c>
      <c r="N141" s="15" t="str">
        <f>IF(B141="","",IF(L141&lt;=0,"consumed",IF(OR(L141&lt;Settings!$B$5,AND(K141&gt;0,L141/K141&lt;Settings!$B$6)),"low","active")))</f>
        <v/>
      </c>
      <c r="O141" s="14"/>
      <c r="P141" s="14"/>
    </row>
    <row r="142" spans="1:16" x14ac:dyDescent="0.45">
      <c r="A142" s="13"/>
      <c r="B142" s="13"/>
      <c r="C142" s="13"/>
      <c r="D142" s="14"/>
      <c r="E142" s="13"/>
      <c r="F142" s="13"/>
      <c r="G142" s="13"/>
      <c r="H142" s="15" t="str">
        <f t="shared" si="8"/>
        <v/>
      </c>
      <c r="I142" s="13"/>
      <c r="J142" s="13"/>
      <c r="K142" s="16"/>
      <c r="L142" s="17" t="str">
        <f>IF(B142="","",MAX(0,IF(K142="",0,K142)-SUMIF('Usage Log'!$B$4:$B$503,B142,'Usage Log'!$C$4:$C$503)))</f>
        <v/>
      </c>
      <c r="M142" s="18" t="str">
        <f t="shared" si="9"/>
        <v/>
      </c>
      <c r="N142" s="15" t="str">
        <f>IF(B142="","",IF(L142&lt;=0,"consumed",IF(OR(L142&lt;Settings!$B$5,AND(K142&gt;0,L142/K142&lt;Settings!$B$6)),"low","active")))</f>
        <v/>
      </c>
      <c r="O142" s="14"/>
      <c r="P142" s="14"/>
    </row>
    <row r="143" spans="1:16" x14ac:dyDescent="0.45">
      <c r="A143" s="13"/>
      <c r="B143" s="13"/>
      <c r="C143" s="13"/>
      <c r="D143" s="14"/>
      <c r="E143" s="13"/>
      <c r="F143" s="13"/>
      <c r="G143" s="13"/>
      <c r="H143" s="15" t="str">
        <f t="shared" si="8"/>
        <v/>
      </c>
      <c r="I143" s="13"/>
      <c r="J143" s="13"/>
      <c r="K143" s="16"/>
      <c r="L143" s="17" t="str">
        <f>IF(B143="","",MAX(0,IF(K143="",0,K143)-SUMIF('Usage Log'!$B$4:$B$503,B143,'Usage Log'!$C$4:$C$503)))</f>
        <v/>
      </c>
      <c r="M143" s="18" t="str">
        <f t="shared" si="9"/>
        <v/>
      </c>
      <c r="N143" s="15" t="str">
        <f>IF(B143="","",IF(L143&lt;=0,"consumed",IF(OR(L143&lt;Settings!$B$5,AND(K143&gt;0,L143/K143&lt;Settings!$B$6)),"low","active")))</f>
        <v/>
      </c>
      <c r="O143" s="14"/>
      <c r="P143" s="14"/>
    </row>
    <row r="144" spans="1:16" x14ac:dyDescent="0.45">
      <c r="A144" s="13"/>
      <c r="B144" s="13"/>
      <c r="C144" s="13"/>
      <c r="D144" s="14"/>
      <c r="E144" s="13"/>
      <c r="F144" s="13"/>
      <c r="G144" s="13"/>
      <c r="H144" s="15" t="str">
        <f t="shared" si="8"/>
        <v/>
      </c>
      <c r="I144" s="13"/>
      <c r="J144" s="13"/>
      <c r="K144" s="16"/>
      <c r="L144" s="17" t="str">
        <f>IF(B144="","",MAX(0,IF(K144="",0,K144)-SUMIF('Usage Log'!$B$4:$B$503,B144,'Usage Log'!$C$4:$C$503)))</f>
        <v/>
      </c>
      <c r="M144" s="18" t="str">
        <f t="shared" si="9"/>
        <v/>
      </c>
      <c r="N144" s="15" t="str">
        <f>IF(B144="","",IF(L144&lt;=0,"consumed",IF(OR(L144&lt;Settings!$B$5,AND(K144&gt;0,L144/K144&lt;Settings!$B$6)),"low","active")))</f>
        <v/>
      </c>
      <c r="O144" s="14"/>
      <c r="P144" s="14"/>
    </row>
    <row r="145" spans="1:16" x14ac:dyDescent="0.45">
      <c r="A145" s="13"/>
      <c r="B145" s="13"/>
      <c r="C145" s="13"/>
      <c r="D145" s="14"/>
      <c r="E145" s="13"/>
      <c r="F145" s="13"/>
      <c r="G145" s="13"/>
      <c r="H145" s="15" t="str">
        <f t="shared" si="8"/>
        <v/>
      </c>
      <c r="I145" s="13"/>
      <c r="J145" s="13"/>
      <c r="K145" s="16"/>
      <c r="L145" s="17" t="str">
        <f>IF(B145="","",MAX(0,IF(K145="",0,K145)-SUMIF('Usage Log'!$B$4:$B$503,B145,'Usage Log'!$C$4:$C$503)))</f>
        <v/>
      </c>
      <c r="M145" s="18" t="str">
        <f t="shared" si="9"/>
        <v/>
      </c>
      <c r="N145" s="15" t="str">
        <f>IF(B145="","",IF(L145&lt;=0,"consumed",IF(OR(L145&lt;Settings!$B$5,AND(K145&gt;0,L145/K145&lt;Settings!$B$6)),"low","active")))</f>
        <v/>
      </c>
      <c r="O145" s="14"/>
      <c r="P145" s="14"/>
    </row>
    <row r="146" spans="1:16" x14ac:dyDescent="0.45">
      <c r="A146" s="13"/>
      <c r="B146" s="13"/>
      <c r="C146" s="13"/>
      <c r="D146" s="14"/>
      <c r="E146" s="13"/>
      <c r="F146" s="13"/>
      <c r="G146" s="13"/>
      <c r="H146" s="15" t="str">
        <f t="shared" si="8"/>
        <v/>
      </c>
      <c r="I146" s="13"/>
      <c r="J146" s="13"/>
      <c r="K146" s="16"/>
      <c r="L146" s="17" t="str">
        <f>IF(B146="","",MAX(0,IF(K146="",0,K146)-SUMIF('Usage Log'!$B$4:$B$503,B146,'Usage Log'!$C$4:$C$503)))</f>
        <v/>
      </c>
      <c r="M146" s="18" t="str">
        <f t="shared" si="9"/>
        <v/>
      </c>
      <c r="N146" s="15" t="str">
        <f>IF(B146="","",IF(L146&lt;=0,"consumed",IF(OR(L146&lt;Settings!$B$5,AND(K146&gt;0,L146/K146&lt;Settings!$B$6)),"low","active")))</f>
        <v/>
      </c>
      <c r="O146" s="14"/>
      <c r="P146" s="14"/>
    </row>
    <row r="147" spans="1:16" x14ac:dyDescent="0.45">
      <c r="A147" s="13"/>
      <c r="B147" s="13"/>
      <c r="C147" s="13"/>
      <c r="D147" s="14"/>
      <c r="E147" s="13"/>
      <c r="F147" s="13"/>
      <c r="G147" s="13"/>
      <c r="H147" s="15" t="str">
        <f t="shared" si="8"/>
        <v/>
      </c>
      <c r="I147" s="13"/>
      <c r="J147" s="13"/>
      <c r="K147" s="16"/>
      <c r="L147" s="17" t="str">
        <f>IF(B147="","",MAX(0,IF(K147="",0,K147)-SUMIF('Usage Log'!$B$4:$B$503,B147,'Usage Log'!$C$4:$C$503)))</f>
        <v/>
      </c>
      <c r="M147" s="18" t="str">
        <f t="shared" si="9"/>
        <v/>
      </c>
      <c r="N147" s="15" t="str">
        <f>IF(B147="","",IF(L147&lt;=0,"consumed",IF(OR(L147&lt;Settings!$B$5,AND(K147&gt;0,L147/K147&lt;Settings!$B$6)),"low","active")))</f>
        <v/>
      </c>
      <c r="O147" s="14"/>
      <c r="P147" s="14"/>
    </row>
    <row r="148" spans="1:16" x14ac:dyDescent="0.45">
      <c r="A148" s="13"/>
      <c r="B148" s="13"/>
      <c r="C148" s="13"/>
      <c r="D148" s="14"/>
      <c r="E148" s="13"/>
      <c r="F148" s="13"/>
      <c r="G148" s="13"/>
      <c r="H148" s="15" t="str">
        <f t="shared" si="8"/>
        <v/>
      </c>
      <c r="I148" s="13"/>
      <c r="J148" s="13"/>
      <c r="K148" s="16"/>
      <c r="L148" s="17" t="str">
        <f>IF(B148="","",MAX(0,IF(K148="",0,K148)-SUMIF('Usage Log'!$B$4:$B$503,B148,'Usage Log'!$C$4:$C$503)))</f>
        <v/>
      </c>
      <c r="M148" s="18" t="str">
        <f t="shared" si="9"/>
        <v/>
      </c>
      <c r="N148" s="15" t="str">
        <f>IF(B148="","",IF(L148&lt;=0,"consumed",IF(OR(L148&lt;Settings!$B$5,AND(K148&gt;0,L148/K148&lt;Settings!$B$6)),"low","active")))</f>
        <v/>
      </c>
      <c r="O148" s="14"/>
      <c r="P148" s="14"/>
    </row>
    <row r="149" spans="1:16" x14ac:dyDescent="0.45">
      <c r="A149" s="13"/>
      <c r="B149" s="13"/>
      <c r="C149" s="13"/>
      <c r="D149" s="14"/>
      <c r="E149" s="13"/>
      <c r="F149" s="13"/>
      <c r="G149" s="13"/>
      <c r="H149" s="15" t="str">
        <f t="shared" si="8"/>
        <v/>
      </c>
      <c r="I149" s="13"/>
      <c r="J149" s="13"/>
      <c r="K149" s="16"/>
      <c r="L149" s="17" t="str">
        <f>IF(B149="","",MAX(0,IF(K149="",0,K149)-SUMIF('Usage Log'!$B$4:$B$503,B149,'Usage Log'!$C$4:$C$503)))</f>
        <v/>
      </c>
      <c r="M149" s="18" t="str">
        <f t="shared" si="9"/>
        <v/>
      </c>
      <c r="N149" s="15" t="str">
        <f>IF(B149="","",IF(L149&lt;=0,"consumed",IF(OR(L149&lt;Settings!$B$5,AND(K149&gt;0,L149/K149&lt;Settings!$B$6)),"low","active")))</f>
        <v/>
      </c>
      <c r="O149" s="14"/>
      <c r="P149" s="14"/>
    </row>
    <row r="150" spans="1:16" x14ac:dyDescent="0.45">
      <c r="A150" s="13"/>
      <c r="B150" s="13"/>
      <c r="C150" s="13"/>
      <c r="D150" s="14"/>
      <c r="E150" s="13"/>
      <c r="F150" s="13"/>
      <c r="G150" s="13"/>
      <c r="H150" s="15" t="str">
        <f t="shared" si="8"/>
        <v/>
      </c>
      <c r="I150" s="13"/>
      <c r="J150" s="13"/>
      <c r="K150" s="16"/>
      <c r="L150" s="17" t="str">
        <f>IF(B150="","",MAX(0,IF(K150="",0,K150)-SUMIF('Usage Log'!$B$4:$B$503,B150,'Usage Log'!$C$4:$C$503)))</f>
        <v/>
      </c>
      <c r="M150" s="18" t="str">
        <f t="shared" si="9"/>
        <v/>
      </c>
      <c r="N150" s="15" t="str">
        <f>IF(B150="","",IF(L150&lt;=0,"consumed",IF(OR(L150&lt;Settings!$B$5,AND(K150&gt;0,L150/K150&lt;Settings!$B$6)),"low","active")))</f>
        <v/>
      </c>
      <c r="O150" s="14"/>
      <c r="P150" s="14"/>
    </row>
    <row r="151" spans="1:16" x14ac:dyDescent="0.45">
      <c r="A151" s="13"/>
      <c r="B151" s="13"/>
      <c r="C151" s="13"/>
      <c r="D151" s="14"/>
      <c r="E151" s="13"/>
      <c r="F151" s="13"/>
      <c r="G151" s="13"/>
      <c r="H151" s="15" t="str">
        <f t="shared" si="8"/>
        <v/>
      </c>
      <c r="I151" s="13"/>
      <c r="J151" s="13"/>
      <c r="K151" s="16"/>
      <c r="L151" s="17" t="str">
        <f>IF(B151="","",MAX(0,IF(K151="",0,K151)-SUMIF('Usage Log'!$B$4:$B$503,B151,'Usage Log'!$C$4:$C$503)))</f>
        <v/>
      </c>
      <c r="M151" s="18" t="str">
        <f t="shared" si="9"/>
        <v/>
      </c>
      <c r="N151" s="15" t="str">
        <f>IF(B151="","",IF(L151&lt;=0,"consumed",IF(OR(L151&lt;Settings!$B$5,AND(K151&gt;0,L151/K151&lt;Settings!$B$6)),"low","active")))</f>
        <v/>
      </c>
      <c r="O151" s="14"/>
      <c r="P151" s="14"/>
    </row>
    <row r="152" spans="1:16" x14ac:dyDescent="0.45">
      <c r="A152" s="13"/>
      <c r="B152" s="13"/>
      <c r="C152" s="13"/>
      <c r="D152" s="14"/>
      <c r="E152" s="13"/>
      <c r="F152" s="13"/>
      <c r="G152" s="13"/>
      <c r="H152" s="15" t="str">
        <f t="shared" si="8"/>
        <v/>
      </c>
      <c r="I152" s="13"/>
      <c r="J152" s="13"/>
      <c r="K152" s="16"/>
      <c r="L152" s="17" t="str">
        <f>IF(B152="","",MAX(0,IF(K152="",0,K152)-SUMIF('Usage Log'!$B$4:$B$503,B152,'Usage Log'!$C$4:$C$503)))</f>
        <v/>
      </c>
      <c r="M152" s="18" t="str">
        <f t="shared" si="9"/>
        <v/>
      </c>
      <c r="N152" s="15" t="str">
        <f>IF(B152="","",IF(L152&lt;=0,"consumed",IF(OR(L152&lt;Settings!$B$5,AND(K152&gt;0,L152/K152&lt;Settings!$B$6)),"low","active")))</f>
        <v/>
      </c>
      <c r="O152" s="14"/>
      <c r="P152" s="14"/>
    </row>
    <row r="153" spans="1:16" x14ac:dyDescent="0.45">
      <c r="A153" s="13"/>
      <c r="B153" s="13"/>
      <c r="C153" s="13"/>
      <c r="D153" s="14"/>
      <c r="E153" s="13"/>
      <c r="F153" s="13"/>
      <c r="G153" s="13"/>
      <c r="H153" s="15" t="str">
        <f t="shared" si="8"/>
        <v/>
      </c>
      <c r="I153" s="13"/>
      <c r="J153" s="13"/>
      <c r="K153" s="16"/>
      <c r="L153" s="17" t="str">
        <f>IF(B153="","",MAX(0,IF(K153="",0,K153)-SUMIF('Usage Log'!$B$4:$B$503,B153,'Usage Log'!$C$4:$C$503)))</f>
        <v/>
      </c>
      <c r="M153" s="18" t="str">
        <f t="shared" si="9"/>
        <v/>
      </c>
      <c r="N153" s="15" t="str">
        <f>IF(B153="","",IF(L153&lt;=0,"consumed",IF(OR(L153&lt;Settings!$B$5,AND(K153&gt;0,L153/K153&lt;Settings!$B$6)),"low","active")))</f>
        <v/>
      </c>
      <c r="O153" s="14"/>
      <c r="P153" s="14"/>
    </row>
    <row r="154" spans="1:16" x14ac:dyDescent="0.45">
      <c r="A154" s="13"/>
      <c r="B154" s="13"/>
      <c r="C154" s="13"/>
      <c r="D154" s="14"/>
      <c r="E154" s="13"/>
      <c r="F154" s="13"/>
      <c r="G154" s="13"/>
      <c r="H154" s="15" t="str">
        <f t="shared" si="8"/>
        <v/>
      </c>
      <c r="I154" s="13"/>
      <c r="J154" s="13"/>
      <c r="K154" s="16"/>
      <c r="L154" s="17" t="str">
        <f>IF(B154="","",MAX(0,IF(K154="",0,K154)-SUMIF('Usage Log'!$B$4:$B$503,B154,'Usage Log'!$C$4:$C$503)))</f>
        <v/>
      </c>
      <c r="M154" s="18" t="str">
        <f t="shared" si="9"/>
        <v/>
      </c>
      <c r="N154" s="15" t="str">
        <f>IF(B154="","",IF(L154&lt;=0,"consumed",IF(OR(L154&lt;Settings!$B$5,AND(K154&gt;0,L154/K154&lt;Settings!$B$6)),"low","active")))</f>
        <v/>
      </c>
      <c r="O154" s="14"/>
      <c r="P154" s="14"/>
    </row>
    <row r="155" spans="1:16" x14ac:dyDescent="0.45">
      <c r="A155" s="13"/>
      <c r="B155" s="13"/>
      <c r="C155" s="13"/>
      <c r="D155" s="14"/>
      <c r="E155" s="13"/>
      <c r="F155" s="13"/>
      <c r="G155" s="13"/>
      <c r="H155" s="15" t="str">
        <f t="shared" si="8"/>
        <v/>
      </c>
      <c r="I155" s="13"/>
      <c r="J155" s="13"/>
      <c r="K155" s="16"/>
      <c r="L155" s="17" t="str">
        <f>IF(B155="","",MAX(0,IF(K155="",0,K155)-SUMIF('Usage Log'!$B$4:$B$503,B155,'Usage Log'!$C$4:$C$503)))</f>
        <v/>
      </c>
      <c r="M155" s="18" t="str">
        <f t="shared" si="9"/>
        <v/>
      </c>
      <c r="N155" s="15" t="str">
        <f>IF(B155="","",IF(L155&lt;=0,"consumed",IF(OR(L155&lt;Settings!$B$5,AND(K155&gt;0,L155/K155&lt;Settings!$B$6)),"low","active")))</f>
        <v/>
      </c>
      <c r="O155" s="14"/>
      <c r="P155" s="14"/>
    </row>
    <row r="156" spans="1:16" x14ac:dyDescent="0.45">
      <c r="A156" s="13"/>
      <c r="B156" s="13"/>
      <c r="C156" s="13"/>
      <c r="D156" s="14"/>
      <c r="E156" s="13"/>
      <c r="F156" s="13"/>
      <c r="G156" s="13"/>
      <c r="H156" s="15" t="str">
        <f t="shared" si="8"/>
        <v/>
      </c>
      <c r="I156" s="13"/>
      <c r="J156" s="13"/>
      <c r="K156" s="16"/>
      <c r="L156" s="17" t="str">
        <f>IF(B156="","",MAX(0,IF(K156="",0,K156)-SUMIF('Usage Log'!$B$4:$B$503,B156,'Usage Log'!$C$4:$C$503)))</f>
        <v/>
      </c>
      <c r="M156" s="18" t="str">
        <f t="shared" si="9"/>
        <v/>
      </c>
      <c r="N156" s="15" t="str">
        <f>IF(B156="","",IF(L156&lt;=0,"consumed",IF(OR(L156&lt;Settings!$B$5,AND(K156&gt;0,L156/K156&lt;Settings!$B$6)),"low","active")))</f>
        <v/>
      </c>
      <c r="O156" s="14"/>
      <c r="P156" s="14"/>
    </row>
    <row r="157" spans="1:16" x14ac:dyDescent="0.45">
      <c r="A157" s="13"/>
      <c r="B157" s="13"/>
      <c r="C157" s="13"/>
      <c r="D157" s="14"/>
      <c r="E157" s="13"/>
      <c r="F157" s="13"/>
      <c r="G157" s="13"/>
      <c r="H157" s="15" t="str">
        <f t="shared" si="8"/>
        <v/>
      </c>
      <c r="I157" s="13"/>
      <c r="J157" s="13"/>
      <c r="K157" s="16"/>
      <c r="L157" s="17" t="str">
        <f>IF(B157="","",MAX(0,IF(K157="",0,K157)-SUMIF('Usage Log'!$B$4:$B$503,B157,'Usage Log'!$C$4:$C$503)))</f>
        <v/>
      </c>
      <c r="M157" s="18" t="str">
        <f t="shared" si="9"/>
        <v/>
      </c>
      <c r="N157" s="15" t="str">
        <f>IF(B157="","",IF(L157&lt;=0,"consumed",IF(OR(L157&lt;Settings!$B$5,AND(K157&gt;0,L157/K157&lt;Settings!$B$6)),"low","active")))</f>
        <v/>
      </c>
      <c r="O157" s="14"/>
      <c r="P157" s="14"/>
    </row>
    <row r="158" spans="1:16" x14ac:dyDescent="0.45">
      <c r="A158" s="13"/>
      <c r="B158" s="13"/>
      <c r="C158" s="13"/>
      <c r="D158" s="14"/>
      <c r="E158" s="13"/>
      <c r="F158" s="13"/>
      <c r="G158" s="13"/>
      <c r="H158" s="15" t="str">
        <f t="shared" si="8"/>
        <v/>
      </c>
      <c r="I158" s="13"/>
      <c r="J158" s="13"/>
      <c r="K158" s="16"/>
      <c r="L158" s="17" t="str">
        <f>IF(B158="","",MAX(0,IF(K158="",0,K158)-SUMIF('Usage Log'!$B$4:$B$503,B158,'Usage Log'!$C$4:$C$503)))</f>
        <v/>
      </c>
      <c r="M158" s="18" t="str">
        <f t="shared" si="9"/>
        <v/>
      </c>
      <c r="N158" s="15" t="str">
        <f>IF(B158="","",IF(L158&lt;=0,"consumed",IF(OR(L158&lt;Settings!$B$5,AND(K158&gt;0,L158/K158&lt;Settings!$B$6)),"low","active")))</f>
        <v/>
      </c>
      <c r="O158" s="14"/>
      <c r="P158" s="14"/>
    </row>
    <row r="159" spans="1:16" x14ac:dyDescent="0.45">
      <c r="A159" s="13"/>
      <c r="B159" s="13"/>
      <c r="C159" s="13"/>
      <c r="D159" s="14"/>
      <c r="E159" s="13"/>
      <c r="F159" s="13"/>
      <c r="G159" s="13"/>
      <c r="H159" s="15" t="str">
        <f t="shared" si="8"/>
        <v/>
      </c>
      <c r="I159" s="13"/>
      <c r="J159" s="13"/>
      <c r="K159" s="16"/>
      <c r="L159" s="17" t="str">
        <f>IF(B159="","",MAX(0,IF(K159="",0,K159)-SUMIF('Usage Log'!$B$4:$B$503,B159,'Usage Log'!$C$4:$C$503)))</f>
        <v/>
      </c>
      <c r="M159" s="18" t="str">
        <f t="shared" si="9"/>
        <v/>
      </c>
      <c r="N159" s="15" t="str">
        <f>IF(B159="","",IF(L159&lt;=0,"consumed",IF(OR(L159&lt;Settings!$B$5,AND(K159&gt;0,L159/K159&lt;Settings!$B$6)),"low","active")))</f>
        <v/>
      </c>
      <c r="O159" s="14"/>
      <c r="P159" s="14"/>
    </row>
    <row r="160" spans="1:16" x14ac:dyDescent="0.45">
      <c r="A160" s="13"/>
      <c r="B160" s="13"/>
      <c r="C160" s="13"/>
      <c r="D160" s="14"/>
      <c r="E160" s="13"/>
      <c r="F160" s="13"/>
      <c r="G160" s="13"/>
      <c r="H160" s="15" t="str">
        <f t="shared" si="8"/>
        <v/>
      </c>
      <c r="I160" s="13"/>
      <c r="J160" s="13"/>
      <c r="K160" s="16"/>
      <c r="L160" s="17" t="str">
        <f>IF(B160="","",MAX(0,IF(K160="",0,K160)-SUMIF('Usage Log'!$B$4:$B$503,B160,'Usage Log'!$C$4:$C$503)))</f>
        <v/>
      </c>
      <c r="M160" s="18" t="str">
        <f t="shared" si="9"/>
        <v/>
      </c>
      <c r="N160" s="15" t="str">
        <f>IF(B160="","",IF(L160&lt;=0,"consumed",IF(OR(L160&lt;Settings!$B$5,AND(K160&gt;0,L160/K160&lt;Settings!$B$6)),"low","active")))</f>
        <v/>
      </c>
      <c r="O160" s="14"/>
      <c r="P160" s="14"/>
    </row>
    <row r="161" spans="1:16" x14ac:dyDescent="0.45">
      <c r="A161" s="13"/>
      <c r="B161" s="13"/>
      <c r="C161" s="13"/>
      <c r="D161" s="14"/>
      <c r="E161" s="13"/>
      <c r="F161" s="13"/>
      <c r="G161" s="13"/>
      <c r="H161" s="15" t="str">
        <f t="shared" si="8"/>
        <v/>
      </c>
      <c r="I161" s="13"/>
      <c r="J161" s="13"/>
      <c r="K161" s="16"/>
      <c r="L161" s="17" t="str">
        <f>IF(B161="","",MAX(0,IF(K161="",0,K161)-SUMIF('Usage Log'!$B$4:$B$503,B161,'Usage Log'!$C$4:$C$503)))</f>
        <v/>
      </c>
      <c r="M161" s="18" t="str">
        <f t="shared" si="9"/>
        <v/>
      </c>
      <c r="N161" s="15" t="str">
        <f>IF(B161="","",IF(L161&lt;=0,"consumed",IF(OR(L161&lt;Settings!$B$5,AND(K161&gt;0,L161/K161&lt;Settings!$B$6)),"low","active")))</f>
        <v/>
      </c>
      <c r="O161" s="14"/>
      <c r="P161" s="14"/>
    </row>
    <row r="162" spans="1:16" x14ac:dyDescent="0.45">
      <c r="A162" s="13"/>
      <c r="B162" s="13"/>
      <c r="C162" s="13"/>
      <c r="D162" s="14"/>
      <c r="E162" s="13"/>
      <c r="F162" s="13"/>
      <c r="G162" s="13"/>
      <c r="H162" s="15" t="str">
        <f t="shared" si="8"/>
        <v/>
      </c>
      <c r="I162" s="13"/>
      <c r="J162" s="13"/>
      <c r="K162" s="16"/>
      <c r="L162" s="17" t="str">
        <f>IF(B162="","",MAX(0,IF(K162="",0,K162)-SUMIF('Usage Log'!$B$4:$B$503,B162,'Usage Log'!$C$4:$C$503)))</f>
        <v/>
      </c>
      <c r="M162" s="18" t="str">
        <f t="shared" si="9"/>
        <v/>
      </c>
      <c r="N162" s="15" t="str">
        <f>IF(B162="","",IF(L162&lt;=0,"consumed",IF(OR(L162&lt;Settings!$B$5,AND(K162&gt;0,L162/K162&lt;Settings!$B$6)),"low","active")))</f>
        <v/>
      </c>
      <c r="O162" s="14"/>
      <c r="P162" s="14"/>
    </row>
    <row r="163" spans="1:16" x14ac:dyDescent="0.45">
      <c r="A163" s="13"/>
      <c r="B163" s="13"/>
      <c r="C163" s="13"/>
      <c r="D163" s="14"/>
      <c r="E163" s="13"/>
      <c r="F163" s="13"/>
      <c r="G163" s="13"/>
      <c r="H163" s="15" t="str">
        <f t="shared" si="8"/>
        <v/>
      </c>
      <c r="I163" s="13"/>
      <c r="J163" s="13"/>
      <c r="K163" s="16"/>
      <c r="L163" s="17" t="str">
        <f>IF(B163="","",MAX(0,IF(K163="",0,K163)-SUMIF('Usage Log'!$B$4:$B$503,B163,'Usage Log'!$C$4:$C$503)))</f>
        <v/>
      </c>
      <c r="M163" s="18" t="str">
        <f t="shared" si="9"/>
        <v/>
      </c>
      <c r="N163" s="15" t="str">
        <f>IF(B163="","",IF(L163&lt;=0,"consumed",IF(OR(L163&lt;Settings!$B$5,AND(K163&gt;0,L163/K163&lt;Settings!$B$6)),"low","active")))</f>
        <v/>
      </c>
      <c r="O163" s="14"/>
      <c r="P163" s="14"/>
    </row>
    <row r="164" spans="1:16" x14ac:dyDescent="0.45">
      <c r="A164" s="13"/>
      <c r="B164" s="13"/>
      <c r="C164" s="13"/>
      <c r="D164" s="14"/>
      <c r="E164" s="13"/>
      <c r="F164" s="13"/>
      <c r="G164" s="13"/>
      <c r="H164" s="15" t="str">
        <f t="shared" ref="H164:H195" si="10">IF(G164="","",ROUND(G164/25.4,3))</f>
        <v/>
      </c>
      <c r="I164" s="13"/>
      <c r="J164" s="13"/>
      <c r="K164" s="16"/>
      <c r="L164" s="17" t="str">
        <f>IF(B164="","",MAX(0,IF(K164="",0,K164)-SUMIF('Usage Log'!$B$4:$B$503,B164,'Usage Log'!$C$4:$C$503)))</f>
        <v/>
      </c>
      <c r="M164" s="18" t="str">
        <f t="shared" ref="M164:M195" si="11">IF(B164="","",IF(K164="",0,K164)-L164)</f>
        <v/>
      </c>
      <c r="N164" s="15" t="str">
        <f>IF(B164="","",IF(L164&lt;=0,"consumed",IF(OR(L164&lt;Settings!$B$5,AND(K164&gt;0,L164/K164&lt;Settings!$B$6)),"low","active")))</f>
        <v/>
      </c>
      <c r="O164" s="14"/>
      <c r="P164" s="14"/>
    </row>
    <row r="165" spans="1:16" x14ac:dyDescent="0.45">
      <c r="A165" s="13"/>
      <c r="B165" s="13"/>
      <c r="C165" s="13"/>
      <c r="D165" s="14"/>
      <c r="E165" s="13"/>
      <c r="F165" s="13"/>
      <c r="G165" s="13"/>
      <c r="H165" s="15" t="str">
        <f t="shared" si="10"/>
        <v/>
      </c>
      <c r="I165" s="13"/>
      <c r="J165" s="13"/>
      <c r="K165" s="16"/>
      <c r="L165" s="17" t="str">
        <f>IF(B165="","",MAX(0,IF(K165="",0,K165)-SUMIF('Usage Log'!$B$4:$B$503,B165,'Usage Log'!$C$4:$C$503)))</f>
        <v/>
      </c>
      <c r="M165" s="18" t="str">
        <f t="shared" si="11"/>
        <v/>
      </c>
      <c r="N165" s="15" t="str">
        <f>IF(B165="","",IF(L165&lt;=0,"consumed",IF(OR(L165&lt;Settings!$B$5,AND(K165&gt;0,L165/K165&lt;Settings!$B$6)),"low","active")))</f>
        <v/>
      </c>
      <c r="O165" s="14"/>
      <c r="P165" s="14"/>
    </row>
    <row r="166" spans="1:16" x14ac:dyDescent="0.45">
      <c r="A166" s="13"/>
      <c r="B166" s="13"/>
      <c r="C166" s="13"/>
      <c r="D166" s="14"/>
      <c r="E166" s="13"/>
      <c r="F166" s="13"/>
      <c r="G166" s="13"/>
      <c r="H166" s="15" t="str">
        <f t="shared" si="10"/>
        <v/>
      </c>
      <c r="I166" s="13"/>
      <c r="J166" s="13"/>
      <c r="K166" s="16"/>
      <c r="L166" s="17" t="str">
        <f>IF(B166="","",MAX(0,IF(K166="",0,K166)-SUMIF('Usage Log'!$B$4:$B$503,B166,'Usage Log'!$C$4:$C$503)))</f>
        <v/>
      </c>
      <c r="M166" s="18" t="str">
        <f t="shared" si="11"/>
        <v/>
      </c>
      <c r="N166" s="15" t="str">
        <f>IF(B166="","",IF(L166&lt;=0,"consumed",IF(OR(L166&lt;Settings!$B$5,AND(K166&gt;0,L166/K166&lt;Settings!$B$6)),"low","active")))</f>
        <v/>
      </c>
      <c r="O166" s="14"/>
      <c r="P166" s="14"/>
    </row>
    <row r="167" spans="1:16" x14ac:dyDescent="0.45">
      <c r="A167" s="13"/>
      <c r="B167" s="13"/>
      <c r="C167" s="13"/>
      <c r="D167" s="14"/>
      <c r="E167" s="13"/>
      <c r="F167" s="13"/>
      <c r="G167" s="13"/>
      <c r="H167" s="15" t="str">
        <f t="shared" si="10"/>
        <v/>
      </c>
      <c r="I167" s="13"/>
      <c r="J167" s="13"/>
      <c r="K167" s="16"/>
      <c r="L167" s="17" t="str">
        <f>IF(B167="","",MAX(0,IF(K167="",0,K167)-SUMIF('Usage Log'!$B$4:$B$503,B167,'Usage Log'!$C$4:$C$503)))</f>
        <v/>
      </c>
      <c r="M167" s="18" t="str">
        <f t="shared" si="11"/>
        <v/>
      </c>
      <c r="N167" s="15" t="str">
        <f>IF(B167="","",IF(L167&lt;=0,"consumed",IF(OR(L167&lt;Settings!$B$5,AND(K167&gt;0,L167/K167&lt;Settings!$B$6)),"low","active")))</f>
        <v/>
      </c>
      <c r="O167" s="14"/>
      <c r="P167" s="14"/>
    </row>
    <row r="168" spans="1:16" x14ac:dyDescent="0.45">
      <c r="A168" s="13"/>
      <c r="B168" s="13"/>
      <c r="C168" s="13"/>
      <c r="D168" s="14"/>
      <c r="E168" s="13"/>
      <c r="F168" s="13"/>
      <c r="G168" s="13"/>
      <c r="H168" s="15" t="str">
        <f t="shared" si="10"/>
        <v/>
      </c>
      <c r="I168" s="13"/>
      <c r="J168" s="13"/>
      <c r="K168" s="16"/>
      <c r="L168" s="17" t="str">
        <f>IF(B168="","",MAX(0,IF(K168="",0,K168)-SUMIF('Usage Log'!$B$4:$B$503,B168,'Usage Log'!$C$4:$C$503)))</f>
        <v/>
      </c>
      <c r="M168" s="18" t="str">
        <f t="shared" si="11"/>
        <v/>
      </c>
      <c r="N168" s="15" t="str">
        <f>IF(B168="","",IF(L168&lt;=0,"consumed",IF(OR(L168&lt;Settings!$B$5,AND(K168&gt;0,L168/K168&lt;Settings!$B$6)),"low","active")))</f>
        <v/>
      </c>
      <c r="O168" s="14"/>
      <c r="P168" s="14"/>
    </row>
    <row r="169" spans="1:16" x14ac:dyDescent="0.45">
      <c r="A169" s="13"/>
      <c r="B169" s="13"/>
      <c r="C169" s="13"/>
      <c r="D169" s="14"/>
      <c r="E169" s="13"/>
      <c r="F169" s="13"/>
      <c r="G169" s="13"/>
      <c r="H169" s="15" t="str">
        <f t="shared" si="10"/>
        <v/>
      </c>
      <c r="I169" s="13"/>
      <c r="J169" s="13"/>
      <c r="K169" s="16"/>
      <c r="L169" s="17" t="str">
        <f>IF(B169="","",MAX(0,IF(K169="",0,K169)-SUMIF('Usage Log'!$B$4:$B$503,B169,'Usage Log'!$C$4:$C$503)))</f>
        <v/>
      </c>
      <c r="M169" s="18" t="str">
        <f t="shared" si="11"/>
        <v/>
      </c>
      <c r="N169" s="15" t="str">
        <f>IF(B169="","",IF(L169&lt;=0,"consumed",IF(OR(L169&lt;Settings!$B$5,AND(K169&gt;0,L169/K169&lt;Settings!$B$6)),"low","active")))</f>
        <v/>
      </c>
      <c r="O169" s="14"/>
      <c r="P169" s="14"/>
    </row>
    <row r="170" spans="1:16" x14ac:dyDescent="0.45">
      <c r="A170" s="13"/>
      <c r="B170" s="13"/>
      <c r="C170" s="13"/>
      <c r="D170" s="14"/>
      <c r="E170" s="13"/>
      <c r="F170" s="13"/>
      <c r="G170" s="13"/>
      <c r="H170" s="15" t="str">
        <f t="shared" si="10"/>
        <v/>
      </c>
      <c r="I170" s="13"/>
      <c r="J170" s="13"/>
      <c r="K170" s="16"/>
      <c r="L170" s="17" t="str">
        <f>IF(B170="","",MAX(0,IF(K170="",0,K170)-SUMIF('Usage Log'!$B$4:$B$503,B170,'Usage Log'!$C$4:$C$503)))</f>
        <v/>
      </c>
      <c r="M170" s="18" t="str">
        <f t="shared" si="11"/>
        <v/>
      </c>
      <c r="N170" s="15" t="str">
        <f>IF(B170="","",IF(L170&lt;=0,"consumed",IF(OR(L170&lt;Settings!$B$5,AND(K170&gt;0,L170/K170&lt;Settings!$B$6)),"low","active")))</f>
        <v/>
      </c>
      <c r="O170" s="14"/>
      <c r="P170" s="14"/>
    </row>
    <row r="171" spans="1:16" x14ac:dyDescent="0.45">
      <c r="A171" s="13"/>
      <c r="B171" s="13"/>
      <c r="C171" s="13"/>
      <c r="D171" s="14"/>
      <c r="E171" s="13"/>
      <c r="F171" s="13"/>
      <c r="G171" s="13"/>
      <c r="H171" s="15" t="str">
        <f t="shared" si="10"/>
        <v/>
      </c>
      <c r="I171" s="13"/>
      <c r="J171" s="13"/>
      <c r="K171" s="16"/>
      <c r="L171" s="17" t="str">
        <f>IF(B171="","",MAX(0,IF(K171="",0,K171)-SUMIF('Usage Log'!$B$4:$B$503,B171,'Usage Log'!$C$4:$C$503)))</f>
        <v/>
      </c>
      <c r="M171" s="18" t="str">
        <f t="shared" si="11"/>
        <v/>
      </c>
      <c r="N171" s="15" t="str">
        <f>IF(B171="","",IF(L171&lt;=0,"consumed",IF(OR(L171&lt;Settings!$B$5,AND(K171&gt;0,L171/K171&lt;Settings!$B$6)),"low","active")))</f>
        <v/>
      </c>
      <c r="O171" s="14"/>
      <c r="P171" s="14"/>
    </row>
    <row r="172" spans="1:16" x14ac:dyDescent="0.45">
      <c r="A172" s="13"/>
      <c r="B172" s="13"/>
      <c r="C172" s="13"/>
      <c r="D172" s="14"/>
      <c r="E172" s="13"/>
      <c r="F172" s="13"/>
      <c r="G172" s="13"/>
      <c r="H172" s="15" t="str">
        <f t="shared" si="10"/>
        <v/>
      </c>
      <c r="I172" s="13"/>
      <c r="J172" s="13"/>
      <c r="K172" s="16"/>
      <c r="L172" s="17" t="str">
        <f>IF(B172="","",MAX(0,IF(K172="",0,K172)-SUMIF('Usage Log'!$B$4:$B$503,B172,'Usage Log'!$C$4:$C$503)))</f>
        <v/>
      </c>
      <c r="M172" s="18" t="str">
        <f t="shared" si="11"/>
        <v/>
      </c>
      <c r="N172" s="15" t="str">
        <f>IF(B172="","",IF(L172&lt;=0,"consumed",IF(OR(L172&lt;Settings!$B$5,AND(K172&gt;0,L172/K172&lt;Settings!$B$6)),"low","active")))</f>
        <v/>
      </c>
      <c r="O172" s="14"/>
      <c r="P172" s="14"/>
    </row>
    <row r="173" spans="1:16" x14ac:dyDescent="0.45">
      <c r="A173" s="13"/>
      <c r="B173" s="13"/>
      <c r="C173" s="13"/>
      <c r="D173" s="14"/>
      <c r="E173" s="13"/>
      <c r="F173" s="13"/>
      <c r="G173" s="13"/>
      <c r="H173" s="15" t="str">
        <f t="shared" si="10"/>
        <v/>
      </c>
      <c r="I173" s="13"/>
      <c r="J173" s="13"/>
      <c r="K173" s="16"/>
      <c r="L173" s="17" t="str">
        <f>IF(B173="","",MAX(0,IF(K173="",0,K173)-SUMIF('Usage Log'!$B$4:$B$503,B173,'Usage Log'!$C$4:$C$503)))</f>
        <v/>
      </c>
      <c r="M173" s="18" t="str">
        <f t="shared" si="11"/>
        <v/>
      </c>
      <c r="N173" s="15" t="str">
        <f>IF(B173="","",IF(L173&lt;=0,"consumed",IF(OR(L173&lt;Settings!$B$5,AND(K173&gt;0,L173/K173&lt;Settings!$B$6)),"low","active")))</f>
        <v/>
      </c>
      <c r="O173" s="14"/>
      <c r="P173" s="14"/>
    </row>
    <row r="174" spans="1:16" x14ac:dyDescent="0.45">
      <c r="A174" s="13"/>
      <c r="B174" s="13"/>
      <c r="C174" s="13"/>
      <c r="D174" s="14"/>
      <c r="E174" s="13"/>
      <c r="F174" s="13"/>
      <c r="G174" s="13"/>
      <c r="H174" s="15" t="str">
        <f t="shared" si="10"/>
        <v/>
      </c>
      <c r="I174" s="13"/>
      <c r="J174" s="13"/>
      <c r="K174" s="16"/>
      <c r="L174" s="17" t="str">
        <f>IF(B174="","",MAX(0,IF(K174="",0,K174)-SUMIF('Usage Log'!$B$4:$B$503,B174,'Usage Log'!$C$4:$C$503)))</f>
        <v/>
      </c>
      <c r="M174" s="18" t="str">
        <f t="shared" si="11"/>
        <v/>
      </c>
      <c r="N174" s="15" t="str">
        <f>IF(B174="","",IF(L174&lt;=0,"consumed",IF(OR(L174&lt;Settings!$B$5,AND(K174&gt;0,L174/K174&lt;Settings!$B$6)),"low","active")))</f>
        <v/>
      </c>
      <c r="O174" s="14"/>
      <c r="P174" s="14"/>
    </row>
    <row r="175" spans="1:16" x14ac:dyDescent="0.45">
      <c r="A175" s="13"/>
      <c r="B175" s="13"/>
      <c r="C175" s="13"/>
      <c r="D175" s="14"/>
      <c r="E175" s="13"/>
      <c r="F175" s="13"/>
      <c r="G175" s="13"/>
      <c r="H175" s="15" t="str">
        <f t="shared" si="10"/>
        <v/>
      </c>
      <c r="I175" s="13"/>
      <c r="J175" s="13"/>
      <c r="K175" s="16"/>
      <c r="L175" s="17" t="str">
        <f>IF(B175="","",MAX(0,IF(K175="",0,K175)-SUMIF('Usage Log'!$B$4:$B$503,B175,'Usage Log'!$C$4:$C$503)))</f>
        <v/>
      </c>
      <c r="M175" s="18" t="str">
        <f t="shared" si="11"/>
        <v/>
      </c>
      <c r="N175" s="15" t="str">
        <f>IF(B175="","",IF(L175&lt;=0,"consumed",IF(OR(L175&lt;Settings!$B$5,AND(K175&gt;0,L175/K175&lt;Settings!$B$6)),"low","active")))</f>
        <v/>
      </c>
      <c r="O175" s="14"/>
      <c r="P175" s="14"/>
    </row>
    <row r="176" spans="1:16" x14ac:dyDescent="0.45">
      <c r="A176" s="13"/>
      <c r="B176" s="13"/>
      <c r="C176" s="13"/>
      <c r="D176" s="14"/>
      <c r="E176" s="13"/>
      <c r="F176" s="13"/>
      <c r="G176" s="13"/>
      <c r="H176" s="15" t="str">
        <f t="shared" si="10"/>
        <v/>
      </c>
      <c r="I176" s="13"/>
      <c r="J176" s="13"/>
      <c r="K176" s="16"/>
      <c r="L176" s="17" t="str">
        <f>IF(B176="","",MAX(0,IF(K176="",0,K176)-SUMIF('Usage Log'!$B$4:$B$503,B176,'Usage Log'!$C$4:$C$503)))</f>
        <v/>
      </c>
      <c r="M176" s="18" t="str">
        <f t="shared" si="11"/>
        <v/>
      </c>
      <c r="N176" s="15" t="str">
        <f>IF(B176="","",IF(L176&lt;=0,"consumed",IF(OR(L176&lt;Settings!$B$5,AND(K176&gt;0,L176/K176&lt;Settings!$B$6)),"low","active")))</f>
        <v/>
      </c>
      <c r="O176" s="14"/>
      <c r="P176" s="14"/>
    </row>
    <row r="177" spans="1:16" x14ac:dyDescent="0.45">
      <c r="A177" s="13"/>
      <c r="B177" s="13"/>
      <c r="C177" s="13"/>
      <c r="D177" s="14"/>
      <c r="E177" s="13"/>
      <c r="F177" s="13"/>
      <c r="G177" s="13"/>
      <c r="H177" s="15" t="str">
        <f t="shared" si="10"/>
        <v/>
      </c>
      <c r="I177" s="13"/>
      <c r="J177" s="13"/>
      <c r="K177" s="16"/>
      <c r="L177" s="17" t="str">
        <f>IF(B177="","",MAX(0,IF(K177="",0,K177)-SUMIF('Usage Log'!$B$4:$B$503,B177,'Usage Log'!$C$4:$C$503)))</f>
        <v/>
      </c>
      <c r="M177" s="18" t="str">
        <f t="shared" si="11"/>
        <v/>
      </c>
      <c r="N177" s="15" t="str">
        <f>IF(B177="","",IF(L177&lt;=0,"consumed",IF(OR(L177&lt;Settings!$B$5,AND(K177&gt;0,L177/K177&lt;Settings!$B$6)),"low","active")))</f>
        <v/>
      </c>
      <c r="O177" s="14"/>
      <c r="P177" s="14"/>
    </row>
    <row r="178" spans="1:16" x14ac:dyDescent="0.45">
      <c r="A178" s="13"/>
      <c r="B178" s="13"/>
      <c r="C178" s="13"/>
      <c r="D178" s="14"/>
      <c r="E178" s="13"/>
      <c r="F178" s="13"/>
      <c r="G178" s="13"/>
      <c r="H178" s="15" t="str">
        <f t="shared" si="10"/>
        <v/>
      </c>
      <c r="I178" s="13"/>
      <c r="J178" s="13"/>
      <c r="K178" s="16"/>
      <c r="L178" s="17" t="str">
        <f>IF(B178="","",MAX(0,IF(K178="",0,K178)-SUMIF('Usage Log'!$B$4:$B$503,B178,'Usage Log'!$C$4:$C$503)))</f>
        <v/>
      </c>
      <c r="M178" s="18" t="str">
        <f t="shared" si="11"/>
        <v/>
      </c>
      <c r="N178" s="15" t="str">
        <f>IF(B178="","",IF(L178&lt;=0,"consumed",IF(OR(L178&lt;Settings!$B$5,AND(K178&gt;0,L178/K178&lt;Settings!$B$6)),"low","active")))</f>
        <v/>
      </c>
      <c r="O178" s="14"/>
      <c r="P178" s="14"/>
    </row>
    <row r="179" spans="1:16" x14ac:dyDescent="0.45">
      <c r="A179" s="13"/>
      <c r="B179" s="13"/>
      <c r="C179" s="13"/>
      <c r="D179" s="14"/>
      <c r="E179" s="13"/>
      <c r="F179" s="13"/>
      <c r="G179" s="13"/>
      <c r="H179" s="15" t="str">
        <f t="shared" si="10"/>
        <v/>
      </c>
      <c r="I179" s="13"/>
      <c r="J179" s="13"/>
      <c r="K179" s="16"/>
      <c r="L179" s="17" t="str">
        <f>IF(B179="","",MAX(0,IF(K179="",0,K179)-SUMIF('Usage Log'!$B$4:$B$503,B179,'Usage Log'!$C$4:$C$503)))</f>
        <v/>
      </c>
      <c r="M179" s="18" t="str">
        <f t="shared" si="11"/>
        <v/>
      </c>
      <c r="N179" s="15" t="str">
        <f>IF(B179="","",IF(L179&lt;=0,"consumed",IF(OR(L179&lt;Settings!$B$5,AND(K179&gt;0,L179/K179&lt;Settings!$B$6)),"low","active")))</f>
        <v/>
      </c>
      <c r="O179" s="14"/>
      <c r="P179" s="14"/>
    </row>
    <row r="180" spans="1:16" x14ac:dyDescent="0.45">
      <c r="A180" s="13"/>
      <c r="B180" s="13"/>
      <c r="C180" s="13"/>
      <c r="D180" s="14"/>
      <c r="E180" s="13"/>
      <c r="F180" s="13"/>
      <c r="G180" s="13"/>
      <c r="H180" s="15" t="str">
        <f t="shared" si="10"/>
        <v/>
      </c>
      <c r="I180" s="13"/>
      <c r="J180" s="13"/>
      <c r="K180" s="16"/>
      <c r="L180" s="17" t="str">
        <f>IF(B180="","",MAX(0,IF(K180="",0,K180)-SUMIF('Usage Log'!$B$4:$B$503,B180,'Usage Log'!$C$4:$C$503)))</f>
        <v/>
      </c>
      <c r="M180" s="18" t="str">
        <f t="shared" si="11"/>
        <v/>
      </c>
      <c r="N180" s="15" t="str">
        <f>IF(B180="","",IF(L180&lt;=0,"consumed",IF(OR(L180&lt;Settings!$B$5,AND(K180&gt;0,L180/K180&lt;Settings!$B$6)),"low","active")))</f>
        <v/>
      </c>
      <c r="O180" s="14"/>
      <c r="P180" s="14"/>
    </row>
    <row r="181" spans="1:16" x14ac:dyDescent="0.45">
      <c r="A181" s="13"/>
      <c r="B181" s="13"/>
      <c r="C181" s="13"/>
      <c r="D181" s="14"/>
      <c r="E181" s="13"/>
      <c r="F181" s="13"/>
      <c r="G181" s="13"/>
      <c r="H181" s="15" t="str">
        <f t="shared" si="10"/>
        <v/>
      </c>
      <c r="I181" s="13"/>
      <c r="J181" s="13"/>
      <c r="K181" s="16"/>
      <c r="L181" s="17" t="str">
        <f>IF(B181="","",MAX(0,IF(K181="",0,K181)-SUMIF('Usage Log'!$B$4:$B$503,B181,'Usage Log'!$C$4:$C$503)))</f>
        <v/>
      </c>
      <c r="M181" s="18" t="str">
        <f t="shared" si="11"/>
        <v/>
      </c>
      <c r="N181" s="15" t="str">
        <f>IF(B181="","",IF(L181&lt;=0,"consumed",IF(OR(L181&lt;Settings!$B$5,AND(K181&gt;0,L181/K181&lt;Settings!$B$6)),"low","active")))</f>
        <v/>
      </c>
      <c r="O181" s="14"/>
      <c r="P181" s="14"/>
    </row>
    <row r="182" spans="1:16" x14ac:dyDescent="0.45">
      <c r="A182" s="13"/>
      <c r="B182" s="13"/>
      <c r="C182" s="13"/>
      <c r="D182" s="14"/>
      <c r="E182" s="13"/>
      <c r="F182" s="13"/>
      <c r="G182" s="13"/>
      <c r="H182" s="15" t="str">
        <f t="shared" si="10"/>
        <v/>
      </c>
      <c r="I182" s="13"/>
      <c r="J182" s="13"/>
      <c r="K182" s="16"/>
      <c r="L182" s="17" t="str">
        <f>IF(B182="","",MAX(0,IF(K182="",0,K182)-SUMIF('Usage Log'!$B$4:$B$503,B182,'Usage Log'!$C$4:$C$503)))</f>
        <v/>
      </c>
      <c r="M182" s="18" t="str">
        <f t="shared" si="11"/>
        <v/>
      </c>
      <c r="N182" s="15" t="str">
        <f>IF(B182="","",IF(L182&lt;=0,"consumed",IF(OR(L182&lt;Settings!$B$5,AND(K182&gt;0,L182/K182&lt;Settings!$B$6)),"low","active")))</f>
        <v/>
      </c>
      <c r="O182" s="14"/>
      <c r="P182" s="14"/>
    </row>
    <row r="183" spans="1:16" x14ac:dyDescent="0.45">
      <c r="A183" s="13"/>
      <c r="B183" s="13"/>
      <c r="C183" s="13"/>
      <c r="D183" s="14"/>
      <c r="E183" s="13"/>
      <c r="F183" s="13"/>
      <c r="G183" s="13"/>
      <c r="H183" s="15" t="str">
        <f t="shared" si="10"/>
        <v/>
      </c>
      <c r="I183" s="13"/>
      <c r="J183" s="13"/>
      <c r="K183" s="16"/>
      <c r="L183" s="17" t="str">
        <f>IF(B183="","",MAX(0,IF(K183="",0,K183)-SUMIF('Usage Log'!$B$4:$B$503,B183,'Usage Log'!$C$4:$C$503)))</f>
        <v/>
      </c>
      <c r="M183" s="18" t="str">
        <f t="shared" si="11"/>
        <v/>
      </c>
      <c r="N183" s="15" t="str">
        <f>IF(B183="","",IF(L183&lt;=0,"consumed",IF(OR(L183&lt;Settings!$B$5,AND(K183&gt;0,L183/K183&lt;Settings!$B$6)),"low","active")))</f>
        <v/>
      </c>
      <c r="O183" s="14"/>
      <c r="P183" s="14"/>
    </row>
    <row r="184" spans="1:16" x14ac:dyDescent="0.45">
      <c r="A184" s="13"/>
      <c r="B184" s="13"/>
      <c r="C184" s="13"/>
      <c r="D184" s="14"/>
      <c r="E184" s="13"/>
      <c r="F184" s="13"/>
      <c r="G184" s="13"/>
      <c r="H184" s="15" t="str">
        <f t="shared" si="10"/>
        <v/>
      </c>
      <c r="I184" s="13"/>
      <c r="J184" s="13"/>
      <c r="K184" s="16"/>
      <c r="L184" s="17" t="str">
        <f>IF(B184="","",MAX(0,IF(K184="",0,K184)-SUMIF('Usage Log'!$B$4:$B$503,B184,'Usage Log'!$C$4:$C$503)))</f>
        <v/>
      </c>
      <c r="M184" s="18" t="str">
        <f t="shared" si="11"/>
        <v/>
      </c>
      <c r="N184" s="15" t="str">
        <f>IF(B184="","",IF(L184&lt;=0,"consumed",IF(OR(L184&lt;Settings!$B$5,AND(K184&gt;0,L184/K184&lt;Settings!$B$6)),"low","active")))</f>
        <v/>
      </c>
      <c r="O184" s="14"/>
      <c r="P184" s="14"/>
    </row>
    <row r="185" spans="1:16" x14ac:dyDescent="0.45">
      <c r="A185" s="13"/>
      <c r="B185" s="13"/>
      <c r="C185" s="13"/>
      <c r="D185" s="14"/>
      <c r="E185" s="13"/>
      <c r="F185" s="13"/>
      <c r="G185" s="13"/>
      <c r="H185" s="15" t="str">
        <f t="shared" si="10"/>
        <v/>
      </c>
      <c r="I185" s="13"/>
      <c r="J185" s="13"/>
      <c r="K185" s="16"/>
      <c r="L185" s="17" t="str">
        <f>IF(B185="","",MAX(0,IF(K185="",0,K185)-SUMIF('Usage Log'!$B$4:$B$503,B185,'Usage Log'!$C$4:$C$503)))</f>
        <v/>
      </c>
      <c r="M185" s="18" t="str">
        <f t="shared" si="11"/>
        <v/>
      </c>
      <c r="N185" s="15" t="str">
        <f>IF(B185="","",IF(L185&lt;=0,"consumed",IF(OR(L185&lt;Settings!$B$5,AND(K185&gt;0,L185/K185&lt;Settings!$B$6)),"low","active")))</f>
        <v/>
      </c>
      <c r="O185" s="14"/>
      <c r="P185" s="14"/>
    </row>
    <row r="186" spans="1:16" x14ac:dyDescent="0.45">
      <c r="A186" s="13"/>
      <c r="B186" s="13"/>
      <c r="C186" s="13"/>
      <c r="D186" s="14"/>
      <c r="E186" s="13"/>
      <c r="F186" s="13"/>
      <c r="G186" s="13"/>
      <c r="H186" s="15" t="str">
        <f t="shared" si="10"/>
        <v/>
      </c>
      <c r="I186" s="13"/>
      <c r="J186" s="13"/>
      <c r="K186" s="16"/>
      <c r="L186" s="17" t="str">
        <f>IF(B186="","",MAX(0,IF(K186="",0,K186)-SUMIF('Usage Log'!$B$4:$B$503,B186,'Usage Log'!$C$4:$C$503)))</f>
        <v/>
      </c>
      <c r="M186" s="18" t="str">
        <f t="shared" si="11"/>
        <v/>
      </c>
      <c r="N186" s="15" t="str">
        <f>IF(B186="","",IF(L186&lt;=0,"consumed",IF(OR(L186&lt;Settings!$B$5,AND(K186&gt;0,L186/K186&lt;Settings!$B$6)),"low","active")))</f>
        <v/>
      </c>
      <c r="O186" s="14"/>
      <c r="P186" s="14"/>
    </row>
    <row r="187" spans="1:16" x14ac:dyDescent="0.45">
      <c r="A187" s="13"/>
      <c r="B187" s="13"/>
      <c r="C187" s="13"/>
      <c r="D187" s="14"/>
      <c r="E187" s="13"/>
      <c r="F187" s="13"/>
      <c r="G187" s="13"/>
      <c r="H187" s="15" t="str">
        <f t="shared" si="10"/>
        <v/>
      </c>
      <c r="I187" s="13"/>
      <c r="J187" s="13"/>
      <c r="K187" s="16"/>
      <c r="L187" s="17" t="str">
        <f>IF(B187="","",MAX(0,IF(K187="",0,K187)-SUMIF('Usage Log'!$B$4:$B$503,B187,'Usage Log'!$C$4:$C$503)))</f>
        <v/>
      </c>
      <c r="M187" s="18" t="str">
        <f t="shared" si="11"/>
        <v/>
      </c>
      <c r="N187" s="15" t="str">
        <f>IF(B187="","",IF(L187&lt;=0,"consumed",IF(OR(L187&lt;Settings!$B$5,AND(K187&gt;0,L187/K187&lt;Settings!$B$6)),"low","active")))</f>
        <v/>
      </c>
      <c r="O187" s="14"/>
      <c r="P187" s="14"/>
    </row>
    <row r="188" spans="1:16" x14ac:dyDescent="0.45">
      <c r="A188" s="13"/>
      <c r="B188" s="13"/>
      <c r="C188" s="13"/>
      <c r="D188" s="14"/>
      <c r="E188" s="13"/>
      <c r="F188" s="13"/>
      <c r="G188" s="13"/>
      <c r="H188" s="15" t="str">
        <f t="shared" si="10"/>
        <v/>
      </c>
      <c r="I188" s="13"/>
      <c r="J188" s="13"/>
      <c r="K188" s="16"/>
      <c r="L188" s="17" t="str">
        <f>IF(B188="","",MAX(0,IF(K188="",0,K188)-SUMIF('Usage Log'!$B$4:$B$503,B188,'Usage Log'!$C$4:$C$503)))</f>
        <v/>
      </c>
      <c r="M188" s="18" t="str">
        <f t="shared" si="11"/>
        <v/>
      </c>
      <c r="N188" s="15" t="str">
        <f>IF(B188="","",IF(L188&lt;=0,"consumed",IF(OR(L188&lt;Settings!$B$5,AND(K188&gt;0,L188/K188&lt;Settings!$B$6)),"low","active")))</f>
        <v/>
      </c>
      <c r="O188" s="14"/>
      <c r="P188" s="14"/>
    </row>
    <row r="189" spans="1:16" x14ac:dyDescent="0.45">
      <c r="A189" s="13"/>
      <c r="B189" s="13"/>
      <c r="C189" s="13"/>
      <c r="D189" s="14"/>
      <c r="E189" s="13"/>
      <c r="F189" s="13"/>
      <c r="G189" s="13"/>
      <c r="H189" s="15" t="str">
        <f t="shared" si="10"/>
        <v/>
      </c>
      <c r="I189" s="13"/>
      <c r="J189" s="13"/>
      <c r="K189" s="16"/>
      <c r="L189" s="17" t="str">
        <f>IF(B189="","",MAX(0,IF(K189="",0,K189)-SUMIF('Usage Log'!$B$4:$B$503,B189,'Usage Log'!$C$4:$C$503)))</f>
        <v/>
      </c>
      <c r="M189" s="18" t="str">
        <f t="shared" si="11"/>
        <v/>
      </c>
      <c r="N189" s="15" t="str">
        <f>IF(B189="","",IF(L189&lt;=0,"consumed",IF(OR(L189&lt;Settings!$B$5,AND(K189&gt;0,L189/K189&lt;Settings!$B$6)),"low","active")))</f>
        <v/>
      </c>
      <c r="O189" s="14"/>
      <c r="P189" s="14"/>
    </row>
    <row r="190" spans="1:16" x14ac:dyDescent="0.45">
      <c r="A190" s="13"/>
      <c r="B190" s="13"/>
      <c r="C190" s="13"/>
      <c r="D190" s="14"/>
      <c r="E190" s="13"/>
      <c r="F190" s="13"/>
      <c r="G190" s="13"/>
      <c r="H190" s="15" t="str">
        <f t="shared" si="10"/>
        <v/>
      </c>
      <c r="I190" s="13"/>
      <c r="J190" s="13"/>
      <c r="K190" s="16"/>
      <c r="L190" s="17" t="str">
        <f>IF(B190="","",MAX(0,IF(K190="",0,K190)-SUMIF('Usage Log'!$B$4:$B$503,B190,'Usage Log'!$C$4:$C$503)))</f>
        <v/>
      </c>
      <c r="M190" s="18" t="str">
        <f t="shared" si="11"/>
        <v/>
      </c>
      <c r="N190" s="15" t="str">
        <f>IF(B190="","",IF(L190&lt;=0,"consumed",IF(OR(L190&lt;Settings!$B$5,AND(K190&gt;0,L190/K190&lt;Settings!$B$6)),"low","active")))</f>
        <v/>
      </c>
      <c r="O190" s="14"/>
      <c r="P190" s="14"/>
    </row>
    <row r="191" spans="1:16" x14ac:dyDescent="0.45">
      <c r="A191" s="13"/>
      <c r="B191" s="13"/>
      <c r="C191" s="13"/>
      <c r="D191" s="14"/>
      <c r="E191" s="13"/>
      <c r="F191" s="13"/>
      <c r="G191" s="13"/>
      <c r="H191" s="15" t="str">
        <f t="shared" si="10"/>
        <v/>
      </c>
      <c r="I191" s="13"/>
      <c r="J191" s="13"/>
      <c r="K191" s="16"/>
      <c r="L191" s="17" t="str">
        <f>IF(B191="","",MAX(0,IF(K191="",0,K191)-SUMIF('Usage Log'!$B$4:$B$503,B191,'Usage Log'!$C$4:$C$503)))</f>
        <v/>
      </c>
      <c r="M191" s="18" t="str">
        <f t="shared" si="11"/>
        <v/>
      </c>
      <c r="N191" s="15" t="str">
        <f>IF(B191="","",IF(L191&lt;=0,"consumed",IF(OR(L191&lt;Settings!$B$5,AND(K191&gt;0,L191/K191&lt;Settings!$B$6)),"low","active")))</f>
        <v/>
      </c>
      <c r="O191" s="14"/>
      <c r="P191" s="14"/>
    </row>
    <row r="192" spans="1:16" x14ac:dyDescent="0.45">
      <c r="A192" s="13"/>
      <c r="B192" s="13"/>
      <c r="C192" s="13"/>
      <c r="D192" s="14"/>
      <c r="E192" s="13"/>
      <c r="F192" s="13"/>
      <c r="G192" s="13"/>
      <c r="H192" s="15" t="str">
        <f t="shared" si="10"/>
        <v/>
      </c>
      <c r="I192" s="13"/>
      <c r="J192" s="13"/>
      <c r="K192" s="16"/>
      <c r="L192" s="17" t="str">
        <f>IF(B192="","",MAX(0,IF(K192="",0,K192)-SUMIF('Usage Log'!$B$4:$B$503,B192,'Usage Log'!$C$4:$C$503)))</f>
        <v/>
      </c>
      <c r="M192" s="18" t="str">
        <f t="shared" si="11"/>
        <v/>
      </c>
      <c r="N192" s="15" t="str">
        <f>IF(B192="","",IF(L192&lt;=0,"consumed",IF(OR(L192&lt;Settings!$B$5,AND(K192&gt;0,L192/K192&lt;Settings!$B$6)),"low","active")))</f>
        <v/>
      </c>
      <c r="O192" s="14"/>
      <c r="P192" s="14"/>
    </row>
    <row r="193" spans="1:16" x14ac:dyDescent="0.45">
      <c r="A193" s="13"/>
      <c r="B193" s="13"/>
      <c r="C193" s="13"/>
      <c r="D193" s="14"/>
      <c r="E193" s="13"/>
      <c r="F193" s="13"/>
      <c r="G193" s="13"/>
      <c r="H193" s="15" t="str">
        <f t="shared" si="10"/>
        <v/>
      </c>
      <c r="I193" s="13"/>
      <c r="J193" s="13"/>
      <c r="K193" s="16"/>
      <c r="L193" s="17" t="str">
        <f>IF(B193="","",MAX(0,IF(K193="",0,K193)-SUMIF('Usage Log'!$B$4:$B$503,B193,'Usage Log'!$C$4:$C$503)))</f>
        <v/>
      </c>
      <c r="M193" s="18" t="str">
        <f t="shared" si="11"/>
        <v/>
      </c>
      <c r="N193" s="15" t="str">
        <f>IF(B193="","",IF(L193&lt;=0,"consumed",IF(OR(L193&lt;Settings!$B$5,AND(K193&gt;0,L193/K193&lt;Settings!$B$6)),"low","active")))</f>
        <v/>
      </c>
      <c r="O193" s="14"/>
      <c r="P193" s="14"/>
    </row>
    <row r="194" spans="1:16" x14ac:dyDescent="0.45">
      <c r="A194" s="13"/>
      <c r="B194" s="13"/>
      <c r="C194" s="13"/>
      <c r="D194" s="14"/>
      <c r="E194" s="13"/>
      <c r="F194" s="13"/>
      <c r="G194" s="13"/>
      <c r="H194" s="15" t="str">
        <f t="shared" si="10"/>
        <v/>
      </c>
      <c r="I194" s="13"/>
      <c r="J194" s="13"/>
      <c r="K194" s="16"/>
      <c r="L194" s="17" t="str">
        <f>IF(B194="","",MAX(0,IF(K194="",0,K194)-SUMIF('Usage Log'!$B$4:$B$503,B194,'Usage Log'!$C$4:$C$503)))</f>
        <v/>
      </c>
      <c r="M194" s="18" t="str">
        <f t="shared" si="11"/>
        <v/>
      </c>
      <c r="N194" s="15" t="str">
        <f>IF(B194="","",IF(L194&lt;=0,"consumed",IF(OR(L194&lt;Settings!$B$5,AND(K194&gt;0,L194/K194&lt;Settings!$B$6)),"low","active")))</f>
        <v/>
      </c>
      <c r="O194" s="14"/>
      <c r="P194" s="14"/>
    </row>
    <row r="195" spans="1:16" x14ac:dyDescent="0.45">
      <c r="A195" s="13"/>
      <c r="B195" s="13"/>
      <c r="C195" s="13"/>
      <c r="D195" s="14"/>
      <c r="E195" s="13"/>
      <c r="F195" s="13"/>
      <c r="G195" s="13"/>
      <c r="H195" s="15" t="str">
        <f t="shared" si="10"/>
        <v/>
      </c>
      <c r="I195" s="13"/>
      <c r="J195" s="13"/>
      <c r="K195" s="16"/>
      <c r="L195" s="17" t="str">
        <f>IF(B195="","",MAX(0,IF(K195="",0,K195)-SUMIF('Usage Log'!$B$4:$B$503,B195,'Usage Log'!$C$4:$C$503)))</f>
        <v/>
      </c>
      <c r="M195" s="18" t="str">
        <f t="shared" si="11"/>
        <v/>
      </c>
      <c r="N195" s="15" t="str">
        <f>IF(B195="","",IF(L195&lt;=0,"consumed",IF(OR(L195&lt;Settings!$B$5,AND(K195&gt;0,L195/K195&lt;Settings!$B$6)),"low","active")))</f>
        <v/>
      </c>
      <c r="O195" s="14"/>
      <c r="P195" s="14"/>
    </row>
    <row r="196" spans="1:16" x14ac:dyDescent="0.45">
      <c r="A196" s="13"/>
      <c r="B196" s="13"/>
      <c r="C196" s="13"/>
      <c r="D196" s="14"/>
      <c r="E196" s="13"/>
      <c r="F196" s="13"/>
      <c r="G196" s="13"/>
      <c r="H196" s="15" t="str">
        <f t="shared" ref="H196:H203" si="12">IF(G196="","",ROUND(G196/25.4,3))</f>
        <v/>
      </c>
      <c r="I196" s="13"/>
      <c r="J196" s="13"/>
      <c r="K196" s="16"/>
      <c r="L196" s="17" t="str">
        <f>IF(B196="","",MAX(0,IF(K196="",0,K196)-SUMIF('Usage Log'!$B$4:$B$503,B196,'Usage Log'!$C$4:$C$503)))</f>
        <v/>
      </c>
      <c r="M196" s="18" t="str">
        <f t="shared" ref="M196:M203" si="13">IF(B196="","",IF(K196="",0,K196)-L196)</f>
        <v/>
      </c>
      <c r="N196" s="15" t="str">
        <f>IF(B196="","",IF(L196&lt;=0,"consumed",IF(OR(L196&lt;Settings!$B$5,AND(K196&gt;0,L196/K196&lt;Settings!$B$6)),"low","active")))</f>
        <v/>
      </c>
      <c r="O196" s="14"/>
      <c r="P196" s="14"/>
    </row>
    <row r="197" spans="1:16" x14ac:dyDescent="0.45">
      <c r="A197" s="13"/>
      <c r="B197" s="13"/>
      <c r="C197" s="13"/>
      <c r="D197" s="14"/>
      <c r="E197" s="13"/>
      <c r="F197" s="13"/>
      <c r="G197" s="13"/>
      <c r="H197" s="15" t="str">
        <f t="shared" si="12"/>
        <v/>
      </c>
      <c r="I197" s="13"/>
      <c r="J197" s="13"/>
      <c r="K197" s="16"/>
      <c r="L197" s="17" t="str">
        <f>IF(B197="","",MAX(0,IF(K197="",0,K197)-SUMIF('Usage Log'!$B$4:$B$503,B197,'Usage Log'!$C$4:$C$503)))</f>
        <v/>
      </c>
      <c r="M197" s="18" t="str">
        <f t="shared" si="13"/>
        <v/>
      </c>
      <c r="N197" s="15" t="str">
        <f>IF(B197="","",IF(L197&lt;=0,"consumed",IF(OR(L197&lt;Settings!$B$5,AND(K197&gt;0,L197/K197&lt;Settings!$B$6)),"low","active")))</f>
        <v/>
      </c>
      <c r="O197" s="14"/>
      <c r="P197" s="14"/>
    </row>
    <row r="198" spans="1:16" x14ac:dyDescent="0.45">
      <c r="A198" s="13"/>
      <c r="B198" s="13"/>
      <c r="C198" s="13"/>
      <c r="D198" s="14"/>
      <c r="E198" s="13"/>
      <c r="F198" s="13"/>
      <c r="G198" s="13"/>
      <c r="H198" s="15" t="str">
        <f t="shared" si="12"/>
        <v/>
      </c>
      <c r="I198" s="13"/>
      <c r="J198" s="13"/>
      <c r="K198" s="16"/>
      <c r="L198" s="17" t="str">
        <f>IF(B198="","",MAX(0,IF(K198="",0,K198)-SUMIF('Usage Log'!$B$4:$B$503,B198,'Usage Log'!$C$4:$C$503)))</f>
        <v/>
      </c>
      <c r="M198" s="18" t="str">
        <f t="shared" si="13"/>
        <v/>
      </c>
      <c r="N198" s="15" t="str">
        <f>IF(B198="","",IF(L198&lt;=0,"consumed",IF(OR(L198&lt;Settings!$B$5,AND(K198&gt;0,L198/K198&lt;Settings!$B$6)),"low","active")))</f>
        <v/>
      </c>
      <c r="O198" s="14"/>
      <c r="P198" s="14"/>
    </row>
    <row r="199" spans="1:16" x14ac:dyDescent="0.45">
      <c r="A199" s="13"/>
      <c r="B199" s="13"/>
      <c r="C199" s="13"/>
      <c r="D199" s="14"/>
      <c r="E199" s="13"/>
      <c r="F199" s="13"/>
      <c r="G199" s="13"/>
      <c r="H199" s="15" t="str">
        <f t="shared" si="12"/>
        <v/>
      </c>
      <c r="I199" s="13"/>
      <c r="J199" s="13"/>
      <c r="K199" s="16"/>
      <c r="L199" s="17" t="str">
        <f>IF(B199="","",MAX(0,IF(K199="",0,K199)-SUMIF('Usage Log'!$B$4:$B$503,B199,'Usage Log'!$C$4:$C$503)))</f>
        <v/>
      </c>
      <c r="M199" s="18" t="str">
        <f t="shared" si="13"/>
        <v/>
      </c>
      <c r="N199" s="15" t="str">
        <f>IF(B199="","",IF(L199&lt;=0,"consumed",IF(OR(L199&lt;Settings!$B$5,AND(K199&gt;0,L199/K199&lt;Settings!$B$6)),"low","active")))</f>
        <v/>
      </c>
      <c r="O199" s="14"/>
      <c r="P199" s="14"/>
    </row>
    <row r="200" spans="1:16" x14ac:dyDescent="0.45">
      <c r="A200" s="13"/>
      <c r="B200" s="13"/>
      <c r="C200" s="13"/>
      <c r="D200" s="14"/>
      <c r="E200" s="13"/>
      <c r="F200" s="13"/>
      <c r="G200" s="13"/>
      <c r="H200" s="15" t="str">
        <f t="shared" si="12"/>
        <v/>
      </c>
      <c r="I200" s="13"/>
      <c r="J200" s="13"/>
      <c r="K200" s="16"/>
      <c r="L200" s="17" t="str">
        <f>IF(B200="","",MAX(0,IF(K200="",0,K200)-SUMIF('Usage Log'!$B$4:$B$503,B200,'Usage Log'!$C$4:$C$503)))</f>
        <v/>
      </c>
      <c r="M200" s="18" t="str">
        <f t="shared" si="13"/>
        <v/>
      </c>
      <c r="N200" s="15" t="str">
        <f>IF(B200="","",IF(L200&lt;=0,"consumed",IF(OR(L200&lt;Settings!$B$5,AND(K200&gt;0,L200/K200&lt;Settings!$B$6)),"low","active")))</f>
        <v/>
      </c>
      <c r="O200" s="14"/>
      <c r="P200" s="14"/>
    </row>
    <row r="201" spans="1:16" x14ac:dyDescent="0.45">
      <c r="A201" s="13"/>
      <c r="B201" s="13"/>
      <c r="C201" s="13"/>
      <c r="D201" s="14"/>
      <c r="E201" s="13"/>
      <c r="F201" s="13"/>
      <c r="G201" s="13"/>
      <c r="H201" s="15" t="str">
        <f t="shared" si="12"/>
        <v/>
      </c>
      <c r="I201" s="13"/>
      <c r="J201" s="13"/>
      <c r="K201" s="16"/>
      <c r="L201" s="17" t="str">
        <f>IF(B201="","",MAX(0,IF(K201="",0,K201)-SUMIF('Usage Log'!$B$4:$B$503,B201,'Usage Log'!$C$4:$C$503)))</f>
        <v/>
      </c>
      <c r="M201" s="18" t="str">
        <f t="shared" si="13"/>
        <v/>
      </c>
      <c r="N201" s="15" t="str">
        <f>IF(B201="","",IF(L201&lt;=0,"consumed",IF(OR(L201&lt;Settings!$B$5,AND(K201&gt;0,L201/K201&lt;Settings!$B$6)),"low","active")))</f>
        <v/>
      </c>
      <c r="O201" s="14"/>
      <c r="P201" s="14"/>
    </row>
    <row r="202" spans="1:16" x14ac:dyDescent="0.45">
      <c r="A202" s="13"/>
      <c r="B202" s="13"/>
      <c r="C202" s="13"/>
      <c r="D202" s="14"/>
      <c r="E202" s="13"/>
      <c r="F202" s="13"/>
      <c r="G202" s="13"/>
      <c r="H202" s="15" t="str">
        <f t="shared" si="12"/>
        <v/>
      </c>
      <c r="I202" s="13"/>
      <c r="J202" s="13"/>
      <c r="K202" s="16"/>
      <c r="L202" s="17" t="str">
        <f>IF(B202="","",MAX(0,IF(K202="",0,K202)-SUMIF('Usage Log'!$B$4:$B$503,B202,'Usage Log'!$C$4:$C$503)))</f>
        <v/>
      </c>
      <c r="M202" s="18" t="str">
        <f t="shared" si="13"/>
        <v/>
      </c>
      <c r="N202" s="15" t="str">
        <f>IF(B202="","",IF(L202&lt;=0,"consumed",IF(OR(L202&lt;Settings!$B$5,AND(K202&gt;0,L202/K202&lt;Settings!$B$6)),"low","active")))</f>
        <v/>
      </c>
      <c r="O202" s="14"/>
      <c r="P202" s="14"/>
    </row>
    <row r="203" spans="1:16" x14ac:dyDescent="0.45">
      <c r="A203" s="13"/>
      <c r="B203" s="13"/>
      <c r="C203" s="13"/>
      <c r="D203" s="14"/>
      <c r="E203" s="13"/>
      <c r="F203" s="13"/>
      <c r="G203" s="13"/>
      <c r="H203" s="15" t="str">
        <f t="shared" si="12"/>
        <v/>
      </c>
      <c r="I203" s="13"/>
      <c r="J203" s="13"/>
      <c r="K203" s="16"/>
      <c r="L203" s="17" t="str">
        <f>IF(B203="","",MAX(0,IF(K203="",0,K203)-SUMIF('Usage Log'!$B$4:$B$503,B203,'Usage Log'!$C$4:$C$503)))</f>
        <v/>
      </c>
      <c r="M203" s="18" t="str">
        <f t="shared" si="13"/>
        <v/>
      </c>
      <c r="N203" s="15" t="str">
        <f>IF(B203="","",IF(L203&lt;=0,"consumed",IF(OR(L203&lt;Settings!$B$5,AND(K203&gt;0,L203/K203&lt;Settings!$B$6)),"low","active")))</f>
        <v/>
      </c>
      <c r="O203" s="14"/>
      <c r="P203" s="14"/>
    </row>
  </sheetData>
  <autoFilter ref="A3:P203" xr:uid="{00000000-0009-0000-0000-000002000000}"/>
  <mergeCells count="2">
    <mergeCell ref="A1:P1"/>
    <mergeCell ref="A2:P2"/>
  </mergeCells>
  <conditionalFormatting sqref="L4:L203">
    <cfRule type="expression" dxfId="8" priority="4">
      <formula>AND(L4&gt;0,B4&lt;&gt;"")</formula>
    </cfRule>
  </conditionalFormatting>
  <conditionalFormatting sqref="N4:N203">
    <cfRule type="expression" dxfId="7" priority="1">
      <formula>N4="active"</formula>
    </cfRule>
    <cfRule type="expression" dxfId="6" priority="2">
      <formula>N4="low"</formula>
    </cfRule>
    <cfRule type="expression" dxfId="5" priority="3">
      <formula>N4="consumed"</formula>
    </cfRule>
  </conditionalFormatting>
  <dataValidations count="3">
    <dataValidation type="list" allowBlank="1" sqref="C4:C203" xr:uid="{00000000-0002-0000-0200-000000000000}">
      <formula1>"KRAFT,DUPLEX"</formula1>
    </dataValidation>
    <dataValidation type="list" allowBlank="1" sqref="I4:I203" xr:uid="{00000000-0002-0000-0200-000001000000}">
      <formula1>"NS,GY"</formula1>
    </dataValidation>
    <dataValidation type="list" allowBlank="1" sqref="J4:J203" xr:uid="{00000000-0002-0000-0200-000002000000}">
      <formula1>"fresh,partial"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3"/>
  <sheetViews>
    <sheetView tabSelected="1" workbookViewId="0">
      <pane ySplit="3" topLeftCell="A4" activePane="bottomLeft" state="frozen"/>
      <selection pane="bottomLeft" activeCell="F7" sqref="F7"/>
    </sheetView>
  </sheetViews>
  <sheetFormatPr defaultRowHeight="14.25" x14ac:dyDescent="0.45"/>
  <cols>
    <col min="1" max="2" width="12" customWidth="1"/>
    <col min="3" max="3" width="10" customWidth="1"/>
    <col min="4" max="4" width="16" customWidth="1"/>
    <col min="5" max="5" width="22" customWidth="1"/>
    <col min="6" max="6" width="14" customWidth="1"/>
    <col min="7" max="7" width="16" customWidth="1"/>
  </cols>
  <sheetData>
    <row r="1" spans="1:7" ht="20.65" x14ac:dyDescent="0.6">
      <c r="A1" s="26" t="s">
        <v>87</v>
      </c>
      <c r="B1" s="27"/>
      <c r="C1" s="27"/>
      <c r="D1" s="27"/>
      <c r="E1" s="27"/>
      <c r="F1" s="27"/>
      <c r="G1" s="27"/>
    </row>
    <row r="2" spans="1:7" x14ac:dyDescent="0.45">
      <c r="A2" s="38" t="s">
        <v>88</v>
      </c>
      <c r="B2" s="27"/>
      <c r="C2" s="27"/>
      <c r="D2" s="27"/>
      <c r="E2" s="27"/>
      <c r="F2" s="27"/>
      <c r="G2" s="27"/>
    </row>
    <row r="3" spans="1:7" ht="26.25" x14ac:dyDescent="0.45">
      <c r="A3" s="19" t="s">
        <v>89</v>
      </c>
      <c r="B3" s="19" t="s">
        <v>43</v>
      </c>
      <c r="C3" s="19" t="s">
        <v>90</v>
      </c>
      <c r="D3" s="19" t="s">
        <v>91</v>
      </c>
      <c r="E3" s="19" t="s">
        <v>92</v>
      </c>
      <c r="F3" s="19" t="s">
        <v>93</v>
      </c>
      <c r="G3" s="19" t="s">
        <v>94</v>
      </c>
    </row>
    <row r="4" spans="1:7" x14ac:dyDescent="0.45">
      <c r="A4" s="13" t="s">
        <v>95</v>
      </c>
      <c r="B4" s="13" t="s">
        <v>74</v>
      </c>
      <c r="C4" s="16">
        <v>80</v>
      </c>
      <c r="D4" s="13" t="s">
        <v>96</v>
      </c>
      <c r="E4" s="13" t="s">
        <v>97</v>
      </c>
      <c r="F4" s="17">
        <f>IF(B4="","",IFERROR(VLOOKUP(B4,'Reel Register'!$B$4:$K$203,10,FALSE),""))</f>
        <v>220</v>
      </c>
      <c r="G4" s="17">
        <f>IF(B4="","",IFERROR(VLOOKUP(B4,'Reel Register'!$B$4:$L$203,11,FALSE),""))</f>
        <v>0</v>
      </c>
    </row>
    <row r="5" spans="1:7" x14ac:dyDescent="0.45">
      <c r="A5" s="13" t="s">
        <v>98</v>
      </c>
      <c r="B5" s="13" t="s">
        <v>81</v>
      </c>
      <c r="C5" s="16">
        <v>500</v>
      </c>
      <c r="D5" s="13" t="s">
        <v>99</v>
      </c>
      <c r="E5" s="13" t="s">
        <v>100</v>
      </c>
      <c r="F5" s="17">
        <f>IF(B5="","",IFERROR(VLOOKUP(B5,'Reel Register'!$B$4:$K$203,10,FALSE),""))</f>
        <v>500</v>
      </c>
      <c r="G5" s="17">
        <f>IF(B5="","",IFERROR(VLOOKUP(B5,'Reel Register'!$B$4:$L$203,11,FALSE),""))</f>
        <v>0</v>
      </c>
    </row>
    <row r="6" spans="1:7" x14ac:dyDescent="0.45">
      <c r="A6" s="13" t="s">
        <v>101</v>
      </c>
      <c r="B6" s="13" t="s">
        <v>57</v>
      </c>
      <c r="C6" s="16">
        <v>100</v>
      </c>
      <c r="D6" s="13" t="s">
        <v>102</v>
      </c>
      <c r="E6" s="13" t="s">
        <v>103</v>
      </c>
      <c r="F6" s="17">
        <f>IF(B6="","",IFERROR(VLOOKUP(B6,'Reel Register'!$B$4:$K$203,10,FALSE),""))</f>
        <v>520</v>
      </c>
      <c r="G6" s="17">
        <f>IF(B6="","",IFERROR(VLOOKUP(B6,'Reel Register'!$B$4:$L$203,11,FALSE),""))</f>
        <v>420</v>
      </c>
    </row>
    <row r="7" spans="1:7" x14ac:dyDescent="0.45">
      <c r="A7" s="13"/>
      <c r="B7" s="13"/>
      <c r="C7" s="16"/>
      <c r="D7" s="13"/>
      <c r="E7" s="13"/>
      <c r="F7" s="17" t="str">
        <f>IF(B7="","",IFERROR(VLOOKUP(B7,'Reel Register'!$B$4:$K$203,10,FALSE),""))</f>
        <v/>
      </c>
      <c r="G7" s="17" t="str">
        <f>IF(B7="","",IFERROR(VLOOKUP(B7,'Reel Register'!$B$4:$L$203,11,FALSE),""))</f>
        <v/>
      </c>
    </row>
    <row r="8" spans="1:7" x14ac:dyDescent="0.45">
      <c r="A8" s="13"/>
      <c r="B8" s="13"/>
      <c r="C8" s="16"/>
      <c r="D8" s="13"/>
      <c r="E8" s="13"/>
      <c r="F8" s="17" t="str">
        <f>IF(B8="","",IFERROR(VLOOKUP(B8,'Reel Register'!$B$4:$K$203,10,FALSE),""))</f>
        <v/>
      </c>
      <c r="G8" s="17" t="str">
        <f>IF(B8="","",IFERROR(VLOOKUP(B8,'Reel Register'!$B$4:$L$203,11,FALSE),""))</f>
        <v/>
      </c>
    </row>
    <row r="9" spans="1:7" x14ac:dyDescent="0.45">
      <c r="A9" s="13"/>
      <c r="B9" s="13"/>
      <c r="C9" s="16"/>
      <c r="D9" s="13"/>
      <c r="E9" s="13"/>
      <c r="F9" s="17" t="str">
        <f>IF(B9="","",IFERROR(VLOOKUP(B9,'Reel Register'!$B$4:$K$203,10,FALSE),""))</f>
        <v/>
      </c>
      <c r="G9" s="17" t="str">
        <f>IF(B9="","",IFERROR(VLOOKUP(B9,'Reel Register'!$B$4:$L$203,11,FALSE),""))</f>
        <v/>
      </c>
    </row>
    <row r="10" spans="1:7" x14ac:dyDescent="0.45">
      <c r="A10" s="13"/>
      <c r="B10" s="13"/>
      <c r="C10" s="16"/>
      <c r="D10" s="13"/>
      <c r="E10" s="13"/>
      <c r="F10" s="17" t="str">
        <f>IF(B10="","",IFERROR(VLOOKUP(B10,'Reel Register'!$B$4:$K$203,10,FALSE),""))</f>
        <v/>
      </c>
      <c r="G10" s="17" t="str">
        <f>IF(B10="","",IFERROR(VLOOKUP(B10,'Reel Register'!$B$4:$L$203,11,FALSE),""))</f>
        <v/>
      </c>
    </row>
    <row r="11" spans="1:7" x14ac:dyDescent="0.45">
      <c r="A11" s="13"/>
      <c r="B11" s="13"/>
      <c r="C11" s="16"/>
      <c r="D11" s="13"/>
      <c r="E11" s="13"/>
      <c r="F11" s="17" t="str">
        <f>IF(B11="","",IFERROR(VLOOKUP(B11,'Reel Register'!$B$4:$K$203,10,FALSE),""))</f>
        <v/>
      </c>
      <c r="G11" s="17" t="str">
        <f>IF(B11="","",IFERROR(VLOOKUP(B11,'Reel Register'!$B$4:$L$203,11,FALSE),""))</f>
        <v/>
      </c>
    </row>
    <row r="12" spans="1:7" x14ac:dyDescent="0.45">
      <c r="A12" s="13"/>
      <c r="B12" s="13"/>
      <c r="C12" s="16"/>
      <c r="D12" s="13"/>
      <c r="E12" s="13"/>
      <c r="F12" s="17" t="str">
        <f>IF(B12="","",IFERROR(VLOOKUP(B12,'Reel Register'!$B$4:$K$203,10,FALSE),""))</f>
        <v/>
      </c>
      <c r="G12" s="17" t="str">
        <f>IF(B12="","",IFERROR(VLOOKUP(B12,'Reel Register'!$B$4:$L$203,11,FALSE),""))</f>
        <v/>
      </c>
    </row>
    <row r="13" spans="1:7" x14ac:dyDescent="0.45">
      <c r="A13" s="13"/>
      <c r="B13" s="13"/>
      <c r="C13" s="16"/>
      <c r="D13" s="13"/>
      <c r="E13" s="13"/>
      <c r="F13" s="17" t="str">
        <f>IF(B13="","",IFERROR(VLOOKUP(B13,'Reel Register'!$B$4:$K$203,10,FALSE),""))</f>
        <v/>
      </c>
      <c r="G13" s="17" t="str">
        <f>IF(B13="","",IFERROR(VLOOKUP(B13,'Reel Register'!$B$4:$L$203,11,FALSE),""))</f>
        <v/>
      </c>
    </row>
    <row r="14" spans="1:7" x14ac:dyDescent="0.45">
      <c r="A14" s="13"/>
      <c r="B14" s="13"/>
      <c r="C14" s="16"/>
      <c r="D14" s="13"/>
      <c r="E14" s="13"/>
      <c r="F14" s="17" t="str">
        <f>IF(B14="","",IFERROR(VLOOKUP(B14,'Reel Register'!$B$4:$K$203,10,FALSE),""))</f>
        <v/>
      </c>
      <c r="G14" s="17" t="str">
        <f>IF(B14="","",IFERROR(VLOOKUP(B14,'Reel Register'!$B$4:$L$203,11,FALSE),""))</f>
        <v/>
      </c>
    </row>
    <row r="15" spans="1:7" x14ac:dyDescent="0.45">
      <c r="A15" s="13"/>
      <c r="B15" s="13"/>
      <c r="C15" s="16"/>
      <c r="D15" s="13"/>
      <c r="E15" s="13"/>
      <c r="F15" s="17" t="str">
        <f>IF(B15="","",IFERROR(VLOOKUP(B15,'Reel Register'!$B$4:$K$203,10,FALSE),""))</f>
        <v/>
      </c>
      <c r="G15" s="17" t="str">
        <f>IF(B15="","",IFERROR(VLOOKUP(B15,'Reel Register'!$B$4:$L$203,11,FALSE),""))</f>
        <v/>
      </c>
    </row>
    <row r="16" spans="1:7" x14ac:dyDescent="0.45">
      <c r="A16" s="13"/>
      <c r="B16" s="13"/>
      <c r="C16" s="16"/>
      <c r="D16" s="13"/>
      <c r="E16" s="13"/>
      <c r="F16" s="17" t="str">
        <f>IF(B16="","",IFERROR(VLOOKUP(B16,'Reel Register'!$B$4:$K$203,10,FALSE),""))</f>
        <v/>
      </c>
      <c r="G16" s="17" t="str">
        <f>IF(B16="","",IFERROR(VLOOKUP(B16,'Reel Register'!$B$4:$L$203,11,FALSE),""))</f>
        <v/>
      </c>
    </row>
    <row r="17" spans="1:7" x14ac:dyDescent="0.45">
      <c r="A17" s="13"/>
      <c r="B17" s="13"/>
      <c r="C17" s="16"/>
      <c r="D17" s="13"/>
      <c r="E17" s="13"/>
      <c r="F17" s="17" t="str">
        <f>IF(B17="","",IFERROR(VLOOKUP(B17,'Reel Register'!$B$4:$K$203,10,FALSE),""))</f>
        <v/>
      </c>
      <c r="G17" s="17" t="str">
        <f>IF(B17="","",IFERROR(VLOOKUP(B17,'Reel Register'!$B$4:$L$203,11,FALSE),""))</f>
        <v/>
      </c>
    </row>
    <row r="18" spans="1:7" x14ac:dyDescent="0.45">
      <c r="A18" s="13"/>
      <c r="B18" s="13"/>
      <c r="C18" s="16"/>
      <c r="D18" s="13"/>
      <c r="E18" s="13"/>
      <c r="F18" s="17" t="str">
        <f>IF(B18="","",IFERROR(VLOOKUP(B18,'Reel Register'!$B$4:$K$203,10,FALSE),""))</f>
        <v/>
      </c>
      <c r="G18" s="17" t="str">
        <f>IF(B18="","",IFERROR(VLOOKUP(B18,'Reel Register'!$B$4:$L$203,11,FALSE),""))</f>
        <v/>
      </c>
    </row>
    <row r="19" spans="1:7" x14ac:dyDescent="0.45">
      <c r="A19" s="13"/>
      <c r="B19" s="13"/>
      <c r="C19" s="16"/>
      <c r="D19" s="13"/>
      <c r="E19" s="13"/>
      <c r="F19" s="17" t="str">
        <f>IF(B19="","",IFERROR(VLOOKUP(B19,'Reel Register'!$B$4:$K$203,10,FALSE),""))</f>
        <v/>
      </c>
      <c r="G19" s="17" t="str">
        <f>IF(B19="","",IFERROR(VLOOKUP(B19,'Reel Register'!$B$4:$L$203,11,FALSE),""))</f>
        <v/>
      </c>
    </row>
    <row r="20" spans="1:7" x14ac:dyDescent="0.45">
      <c r="A20" s="13"/>
      <c r="B20" s="13"/>
      <c r="C20" s="16"/>
      <c r="D20" s="13"/>
      <c r="E20" s="13"/>
      <c r="F20" s="17" t="str">
        <f>IF(B20="","",IFERROR(VLOOKUP(B20,'Reel Register'!$B$4:$K$203,10,FALSE),""))</f>
        <v/>
      </c>
      <c r="G20" s="17" t="str">
        <f>IF(B20="","",IFERROR(VLOOKUP(B20,'Reel Register'!$B$4:$L$203,11,FALSE),""))</f>
        <v/>
      </c>
    </row>
    <row r="21" spans="1:7" x14ac:dyDescent="0.45">
      <c r="A21" s="13"/>
      <c r="B21" s="13"/>
      <c r="C21" s="16"/>
      <c r="D21" s="13"/>
      <c r="E21" s="13"/>
      <c r="F21" s="17" t="str">
        <f>IF(B21="","",IFERROR(VLOOKUP(B21,'Reel Register'!$B$4:$K$203,10,FALSE),""))</f>
        <v/>
      </c>
      <c r="G21" s="17" t="str">
        <f>IF(B21="","",IFERROR(VLOOKUP(B21,'Reel Register'!$B$4:$L$203,11,FALSE),""))</f>
        <v/>
      </c>
    </row>
    <row r="22" spans="1:7" x14ac:dyDescent="0.45">
      <c r="A22" s="13"/>
      <c r="B22" s="13"/>
      <c r="C22" s="16"/>
      <c r="D22" s="13"/>
      <c r="E22" s="13"/>
      <c r="F22" s="17" t="str">
        <f>IF(B22="","",IFERROR(VLOOKUP(B22,'Reel Register'!$B$4:$K$203,10,FALSE),""))</f>
        <v/>
      </c>
      <c r="G22" s="17" t="str">
        <f>IF(B22="","",IFERROR(VLOOKUP(B22,'Reel Register'!$B$4:$L$203,11,FALSE),""))</f>
        <v/>
      </c>
    </row>
    <row r="23" spans="1:7" x14ac:dyDescent="0.45">
      <c r="A23" s="13"/>
      <c r="B23" s="13"/>
      <c r="C23" s="16"/>
      <c r="D23" s="13"/>
      <c r="E23" s="13"/>
      <c r="F23" s="17" t="str">
        <f>IF(B23="","",IFERROR(VLOOKUP(B23,'Reel Register'!$B$4:$K$203,10,FALSE),""))</f>
        <v/>
      </c>
      <c r="G23" s="17" t="str">
        <f>IF(B23="","",IFERROR(VLOOKUP(B23,'Reel Register'!$B$4:$L$203,11,FALSE),""))</f>
        <v/>
      </c>
    </row>
    <row r="24" spans="1:7" x14ac:dyDescent="0.45">
      <c r="A24" s="13"/>
      <c r="B24" s="13"/>
      <c r="C24" s="16"/>
      <c r="D24" s="13"/>
      <c r="E24" s="13"/>
      <c r="F24" s="17" t="str">
        <f>IF(B24="","",IFERROR(VLOOKUP(B24,'Reel Register'!$B$4:$K$203,10,FALSE),""))</f>
        <v/>
      </c>
      <c r="G24" s="17" t="str">
        <f>IF(B24="","",IFERROR(VLOOKUP(B24,'Reel Register'!$B$4:$L$203,11,FALSE),""))</f>
        <v/>
      </c>
    </row>
    <row r="25" spans="1:7" x14ac:dyDescent="0.45">
      <c r="A25" s="13"/>
      <c r="B25" s="13"/>
      <c r="C25" s="16"/>
      <c r="D25" s="13"/>
      <c r="E25" s="13"/>
      <c r="F25" s="17" t="str">
        <f>IF(B25="","",IFERROR(VLOOKUP(B25,'Reel Register'!$B$4:$K$203,10,FALSE),""))</f>
        <v/>
      </c>
      <c r="G25" s="17" t="str">
        <f>IF(B25="","",IFERROR(VLOOKUP(B25,'Reel Register'!$B$4:$L$203,11,FALSE),""))</f>
        <v/>
      </c>
    </row>
    <row r="26" spans="1:7" x14ac:dyDescent="0.45">
      <c r="A26" s="13"/>
      <c r="B26" s="13"/>
      <c r="C26" s="16"/>
      <c r="D26" s="13"/>
      <c r="E26" s="13"/>
      <c r="F26" s="17" t="str">
        <f>IF(B26="","",IFERROR(VLOOKUP(B26,'Reel Register'!$B$4:$K$203,10,FALSE),""))</f>
        <v/>
      </c>
      <c r="G26" s="17" t="str">
        <f>IF(B26="","",IFERROR(VLOOKUP(B26,'Reel Register'!$B$4:$L$203,11,FALSE),""))</f>
        <v/>
      </c>
    </row>
    <row r="27" spans="1:7" x14ac:dyDescent="0.45">
      <c r="A27" s="13"/>
      <c r="B27" s="13"/>
      <c r="C27" s="16"/>
      <c r="D27" s="13"/>
      <c r="E27" s="13"/>
      <c r="F27" s="17" t="str">
        <f>IF(B27="","",IFERROR(VLOOKUP(B27,'Reel Register'!$B$4:$K$203,10,FALSE),""))</f>
        <v/>
      </c>
      <c r="G27" s="17" t="str">
        <f>IF(B27="","",IFERROR(VLOOKUP(B27,'Reel Register'!$B$4:$L$203,11,FALSE),""))</f>
        <v/>
      </c>
    </row>
    <row r="28" spans="1:7" x14ac:dyDescent="0.45">
      <c r="A28" s="13"/>
      <c r="B28" s="13"/>
      <c r="C28" s="16"/>
      <c r="D28" s="13"/>
      <c r="E28" s="13"/>
      <c r="F28" s="17" t="str">
        <f>IF(B28="","",IFERROR(VLOOKUP(B28,'Reel Register'!$B$4:$K$203,10,FALSE),""))</f>
        <v/>
      </c>
      <c r="G28" s="17" t="str">
        <f>IF(B28="","",IFERROR(VLOOKUP(B28,'Reel Register'!$B$4:$L$203,11,FALSE),""))</f>
        <v/>
      </c>
    </row>
    <row r="29" spans="1:7" x14ac:dyDescent="0.45">
      <c r="A29" s="13"/>
      <c r="B29" s="13"/>
      <c r="C29" s="16"/>
      <c r="D29" s="13"/>
      <c r="E29" s="13"/>
      <c r="F29" s="17" t="str">
        <f>IF(B29="","",IFERROR(VLOOKUP(B29,'Reel Register'!$B$4:$K$203,10,FALSE),""))</f>
        <v/>
      </c>
      <c r="G29" s="17" t="str">
        <f>IF(B29="","",IFERROR(VLOOKUP(B29,'Reel Register'!$B$4:$L$203,11,FALSE),""))</f>
        <v/>
      </c>
    </row>
    <row r="30" spans="1:7" x14ac:dyDescent="0.45">
      <c r="A30" s="13"/>
      <c r="B30" s="13"/>
      <c r="C30" s="16"/>
      <c r="D30" s="13"/>
      <c r="E30" s="13"/>
      <c r="F30" s="17" t="str">
        <f>IF(B30="","",IFERROR(VLOOKUP(B30,'Reel Register'!$B$4:$K$203,10,FALSE),""))</f>
        <v/>
      </c>
      <c r="G30" s="17" t="str">
        <f>IF(B30="","",IFERROR(VLOOKUP(B30,'Reel Register'!$B$4:$L$203,11,FALSE),""))</f>
        <v/>
      </c>
    </row>
    <row r="31" spans="1:7" x14ac:dyDescent="0.45">
      <c r="A31" s="13"/>
      <c r="B31" s="13"/>
      <c r="C31" s="16"/>
      <c r="D31" s="13"/>
      <c r="E31" s="13"/>
      <c r="F31" s="17" t="str">
        <f>IF(B31="","",IFERROR(VLOOKUP(B31,'Reel Register'!$B$4:$K$203,10,FALSE),""))</f>
        <v/>
      </c>
      <c r="G31" s="17" t="str">
        <f>IF(B31="","",IFERROR(VLOOKUP(B31,'Reel Register'!$B$4:$L$203,11,FALSE),""))</f>
        <v/>
      </c>
    </row>
    <row r="32" spans="1:7" x14ac:dyDescent="0.45">
      <c r="A32" s="13"/>
      <c r="B32" s="13"/>
      <c r="C32" s="16"/>
      <c r="D32" s="13"/>
      <c r="E32" s="13"/>
      <c r="F32" s="17" t="str">
        <f>IF(B32="","",IFERROR(VLOOKUP(B32,'Reel Register'!$B$4:$K$203,10,FALSE),""))</f>
        <v/>
      </c>
      <c r="G32" s="17" t="str">
        <f>IF(B32="","",IFERROR(VLOOKUP(B32,'Reel Register'!$B$4:$L$203,11,FALSE),""))</f>
        <v/>
      </c>
    </row>
    <row r="33" spans="1:7" x14ac:dyDescent="0.45">
      <c r="A33" s="13"/>
      <c r="B33" s="13"/>
      <c r="C33" s="16"/>
      <c r="D33" s="13"/>
      <c r="E33" s="13"/>
      <c r="F33" s="17" t="str">
        <f>IF(B33="","",IFERROR(VLOOKUP(B33,'Reel Register'!$B$4:$K$203,10,FALSE),""))</f>
        <v/>
      </c>
      <c r="G33" s="17" t="str">
        <f>IF(B33="","",IFERROR(VLOOKUP(B33,'Reel Register'!$B$4:$L$203,11,FALSE),""))</f>
        <v/>
      </c>
    </row>
    <row r="34" spans="1:7" x14ac:dyDescent="0.45">
      <c r="A34" s="13"/>
      <c r="B34" s="13"/>
      <c r="C34" s="16"/>
      <c r="D34" s="13"/>
      <c r="E34" s="13"/>
      <c r="F34" s="17" t="str">
        <f>IF(B34="","",IFERROR(VLOOKUP(B34,'Reel Register'!$B$4:$K$203,10,FALSE),""))</f>
        <v/>
      </c>
      <c r="G34" s="17" t="str">
        <f>IF(B34="","",IFERROR(VLOOKUP(B34,'Reel Register'!$B$4:$L$203,11,FALSE),""))</f>
        <v/>
      </c>
    </row>
    <row r="35" spans="1:7" x14ac:dyDescent="0.45">
      <c r="A35" s="13"/>
      <c r="B35" s="13"/>
      <c r="C35" s="16"/>
      <c r="D35" s="13"/>
      <c r="E35" s="13"/>
      <c r="F35" s="17" t="str">
        <f>IF(B35="","",IFERROR(VLOOKUP(B35,'Reel Register'!$B$4:$K$203,10,FALSE),""))</f>
        <v/>
      </c>
      <c r="G35" s="17" t="str">
        <f>IF(B35="","",IFERROR(VLOOKUP(B35,'Reel Register'!$B$4:$L$203,11,FALSE),""))</f>
        <v/>
      </c>
    </row>
    <row r="36" spans="1:7" x14ac:dyDescent="0.45">
      <c r="A36" s="13"/>
      <c r="B36" s="13"/>
      <c r="C36" s="16"/>
      <c r="D36" s="13"/>
      <c r="E36" s="13"/>
      <c r="F36" s="17" t="str">
        <f>IF(B36="","",IFERROR(VLOOKUP(B36,'Reel Register'!$B$4:$K$203,10,FALSE),""))</f>
        <v/>
      </c>
      <c r="G36" s="17" t="str">
        <f>IF(B36="","",IFERROR(VLOOKUP(B36,'Reel Register'!$B$4:$L$203,11,FALSE),""))</f>
        <v/>
      </c>
    </row>
    <row r="37" spans="1:7" x14ac:dyDescent="0.45">
      <c r="A37" s="13"/>
      <c r="B37" s="13"/>
      <c r="C37" s="16"/>
      <c r="D37" s="13"/>
      <c r="E37" s="13"/>
      <c r="F37" s="17" t="str">
        <f>IF(B37="","",IFERROR(VLOOKUP(B37,'Reel Register'!$B$4:$K$203,10,FALSE),""))</f>
        <v/>
      </c>
      <c r="G37" s="17" t="str">
        <f>IF(B37="","",IFERROR(VLOOKUP(B37,'Reel Register'!$B$4:$L$203,11,FALSE),""))</f>
        <v/>
      </c>
    </row>
    <row r="38" spans="1:7" x14ac:dyDescent="0.45">
      <c r="A38" s="13"/>
      <c r="B38" s="13"/>
      <c r="C38" s="16"/>
      <c r="D38" s="13"/>
      <c r="E38" s="13"/>
      <c r="F38" s="17" t="str">
        <f>IF(B38="","",IFERROR(VLOOKUP(B38,'Reel Register'!$B$4:$K$203,10,FALSE),""))</f>
        <v/>
      </c>
      <c r="G38" s="17" t="str">
        <f>IF(B38="","",IFERROR(VLOOKUP(B38,'Reel Register'!$B$4:$L$203,11,FALSE),""))</f>
        <v/>
      </c>
    </row>
    <row r="39" spans="1:7" x14ac:dyDescent="0.45">
      <c r="A39" s="13"/>
      <c r="B39" s="13"/>
      <c r="C39" s="16"/>
      <c r="D39" s="13"/>
      <c r="E39" s="13"/>
      <c r="F39" s="17" t="str">
        <f>IF(B39="","",IFERROR(VLOOKUP(B39,'Reel Register'!$B$4:$K$203,10,FALSE),""))</f>
        <v/>
      </c>
      <c r="G39" s="17" t="str">
        <f>IF(B39="","",IFERROR(VLOOKUP(B39,'Reel Register'!$B$4:$L$203,11,FALSE),""))</f>
        <v/>
      </c>
    </row>
    <row r="40" spans="1:7" x14ac:dyDescent="0.45">
      <c r="A40" s="13"/>
      <c r="B40" s="13"/>
      <c r="C40" s="16"/>
      <c r="D40" s="13"/>
      <c r="E40" s="13"/>
      <c r="F40" s="17" t="str">
        <f>IF(B40="","",IFERROR(VLOOKUP(B40,'Reel Register'!$B$4:$K$203,10,FALSE),""))</f>
        <v/>
      </c>
      <c r="G40" s="17" t="str">
        <f>IF(B40="","",IFERROR(VLOOKUP(B40,'Reel Register'!$B$4:$L$203,11,FALSE),""))</f>
        <v/>
      </c>
    </row>
    <row r="41" spans="1:7" x14ac:dyDescent="0.45">
      <c r="A41" s="13"/>
      <c r="B41" s="13"/>
      <c r="C41" s="16"/>
      <c r="D41" s="13"/>
      <c r="E41" s="13"/>
      <c r="F41" s="17" t="str">
        <f>IF(B41="","",IFERROR(VLOOKUP(B41,'Reel Register'!$B$4:$K$203,10,FALSE),""))</f>
        <v/>
      </c>
      <c r="G41" s="17" t="str">
        <f>IF(B41="","",IFERROR(VLOOKUP(B41,'Reel Register'!$B$4:$L$203,11,FALSE),""))</f>
        <v/>
      </c>
    </row>
    <row r="42" spans="1:7" x14ac:dyDescent="0.45">
      <c r="A42" s="13"/>
      <c r="B42" s="13"/>
      <c r="C42" s="16"/>
      <c r="D42" s="13"/>
      <c r="E42" s="13"/>
      <c r="F42" s="17" t="str">
        <f>IF(B42="","",IFERROR(VLOOKUP(B42,'Reel Register'!$B$4:$K$203,10,FALSE),""))</f>
        <v/>
      </c>
      <c r="G42" s="17" t="str">
        <f>IF(B42="","",IFERROR(VLOOKUP(B42,'Reel Register'!$B$4:$L$203,11,FALSE),""))</f>
        <v/>
      </c>
    </row>
    <row r="43" spans="1:7" x14ac:dyDescent="0.45">
      <c r="A43" s="13"/>
      <c r="B43" s="13"/>
      <c r="C43" s="16"/>
      <c r="D43" s="13"/>
      <c r="E43" s="13"/>
      <c r="F43" s="17" t="str">
        <f>IF(B43="","",IFERROR(VLOOKUP(B43,'Reel Register'!$B$4:$K$203,10,FALSE),""))</f>
        <v/>
      </c>
      <c r="G43" s="17" t="str">
        <f>IF(B43="","",IFERROR(VLOOKUP(B43,'Reel Register'!$B$4:$L$203,11,FALSE),""))</f>
        <v/>
      </c>
    </row>
    <row r="44" spans="1:7" x14ac:dyDescent="0.45">
      <c r="A44" s="13"/>
      <c r="B44" s="13"/>
      <c r="C44" s="16"/>
      <c r="D44" s="13"/>
      <c r="E44" s="13"/>
      <c r="F44" s="17" t="str">
        <f>IF(B44="","",IFERROR(VLOOKUP(B44,'Reel Register'!$B$4:$K$203,10,FALSE),""))</f>
        <v/>
      </c>
      <c r="G44" s="17" t="str">
        <f>IF(B44="","",IFERROR(VLOOKUP(B44,'Reel Register'!$B$4:$L$203,11,FALSE),""))</f>
        <v/>
      </c>
    </row>
    <row r="45" spans="1:7" x14ac:dyDescent="0.45">
      <c r="A45" s="13"/>
      <c r="B45" s="13"/>
      <c r="C45" s="16"/>
      <c r="D45" s="13"/>
      <c r="E45" s="13"/>
      <c r="F45" s="17" t="str">
        <f>IF(B45="","",IFERROR(VLOOKUP(B45,'Reel Register'!$B$4:$K$203,10,FALSE),""))</f>
        <v/>
      </c>
      <c r="G45" s="17" t="str">
        <f>IF(B45="","",IFERROR(VLOOKUP(B45,'Reel Register'!$B$4:$L$203,11,FALSE),""))</f>
        <v/>
      </c>
    </row>
    <row r="46" spans="1:7" x14ac:dyDescent="0.45">
      <c r="A46" s="13"/>
      <c r="B46" s="13"/>
      <c r="C46" s="16"/>
      <c r="D46" s="13"/>
      <c r="E46" s="13"/>
      <c r="F46" s="17" t="str">
        <f>IF(B46="","",IFERROR(VLOOKUP(B46,'Reel Register'!$B$4:$K$203,10,FALSE),""))</f>
        <v/>
      </c>
      <c r="G46" s="17" t="str">
        <f>IF(B46="","",IFERROR(VLOOKUP(B46,'Reel Register'!$B$4:$L$203,11,FALSE),""))</f>
        <v/>
      </c>
    </row>
    <row r="47" spans="1:7" x14ac:dyDescent="0.45">
      <c r="A47" s="13"/>
      <c r="B47" s="13"/>
      <c r="C47" s="16"/>
      <c r="D47" s="13"/>
      <c r="E47" s="13"/>
      <c r="F47" s="17" t="str">
        <f>IF(B47="","",IFERROR(VLOOKUP(B47,'Reel Register'!$B$4:$K$203,10,FALSE),""))</f>
        <v/>
      </c>
      <c r="G47" s="17" t="str">
        <f>IF(B47="","",IFERROR(VLOOKUP(B47,'Reel Register'!$B$4:$L$203,11,FALSE),""))</f>
        <v/>
      </c>
    </row>
    <row r="48" spans="1:7" x14ac:dyDescent="0.45">
      <c r="A48" s="13"/>
      <c r="B48" s="13"/>
      <c r="C48" s="16"/>
      <c r="D48" s="13"/>
      <c r="E48" s="13"/>
      <c r="F48" s="17" t="str">
        <f>IF(B48="","",IFERROR(VLOOKUP(B48,'Reel Register'!$B$4:$K$203,10,FALSE),""))</f>
        <v/>
      </c>
      <c r="G48" s="17" t="str">
        <f>IF(B48="","",IFERROR(VLOOKUP(B48,'Reel Register'!$B$4:$L$203,11,FALSE),""))</f>
        <v/>
      </c>
    </row>
    <row r="49" spans="1:7" x14ac:dyDescent="0.45">
      <c r="A49" s="13"/>
      <c r="B49" s="13"/>
      <c r="C49" s="16"/>
      <c r="D49" s="13"/>
      <c r="E49" s="13"/>
      <c r="F49" s="17" t="str">
        <f>IF(B49="","",IFERROR(VLOOKUP(B49,'Reel Register'!$B$4:$K$203,10,FALSE),""))</f>
        <v/>
      </c>
      <c r="G49" s="17" t="str">
        <f>IF(B49="","",IFERROR(VLOOKUP(B49,'Reel Register'!$B$4:$L$203,11,FALSE),""))</f>
        <v/>
      </c>
    </row>
    <row r="50" spans="1:7" x14ac:dyDescent="0.45">
      <c r="A50" s="13"/>
      <c r="B50" s="13"/>
      <c r="C50" s="16"/>
      <c r="D50" s="13"/>
      <c r="E50" s="13"/>
      <c r="F50" s="17" t="str">
        <f>IF(B50="","",IFERROR(VLOOKUP(B50,'Reel Register'!$B$4:$K$203,10,FALSE),""))</f>
        <v/>
      </c>
      <c r="G50" s="17" t="str">
        <f>IF(B50="","",IFERROR(VLOOKUP(B50,'Reel Register'!$B$4:$L$203,11,FALSE),""))</f>
        <v/>
      </c>
    </row>
    <row r="51" spans="1:7" x14ac:dyDescent="0.45">
      <c r="A51" s="13"/>
      <c r="B51" s="13"/>
      <c r="C51" s="16"/>
      <c r="D51" s="13"/>
      <c r="E51" s="13"/>
      <c r="F51" s="17" t="str">
        <f>IF(B51="","",IFERROR(VLOOKUP(B51,'Reel Register'!$B$4:$K$203,10,FALSE),""))</f>
        <v/>
      </c>
      <c r="G51" s="17" t="str">
        <f>IF(B51="","",IFERROR(VLOOKUP(B51,'Reel Register'!$B$4:$L$203,11,FALSE),""))</f>
        <v/>
      </c>
    </row>
    <row r="52" spans="1:7" x14ac:dyDescent="0.45">
      <c r="A52" s="13"/>
      <c r="B52" s="13"/>
      <c r="C52" s="16"/>
      <c r="D52" s="13"/>
      <c r="E52" s="13"/>
      <c r="F52" s="17" t="str">
        <f>IF(B52="","",IFERROR(VLOOKUP(B52,'Reel Register'!$B$4:$K$203,10,FALSE),""))</f>
        <v/>
      </c>
      <c r="G52" s="17" t="str">
        <f>IF(B52="","",IFERROR(VLOOKUP(B52,'Reel Register'!$B$4:$L$203,11,FALSE),""))</f>
        <v/>
      </c>
    </row>
    <row r="53" spans="1:7" x14ac:dyDescent="0.45">
      <c r="A53" s="13"/>
      <c r="B53" s="13"/>
      <c r="C53" s="16"/>
      <c r="D53" s="13"/>
      <c r="E53" s="13"/>
      <c r="F53" s="17" t="str">
        <f>IF(B53="","",IFERROR(VLOOKUP(B53,'Reel Register'!$B$4:$K$203,10,FALSE),""))</f>
        <v/>
      </c>
      <c r="G53" s="17" t="str">
        <f>IF(B53="","",IFERROR(VLOOKUP(B53,'Reel Register'!$B$4:$L$203,11,FALSE),""))</f>
        <v/>
      </c>
    </row>
    <row r="54" spans="1:7" x14ac:dyDescent="0.45">
      <c r="A54" s="13"/>
      <c r="B54" s="13"/>
      <c r="C54" s="16"/>
      <c r="D54" s="13"/>
      <c r="E54" s="13"/>
      <c r="F54" s="17" t="str">
        <f>IF(B54="","",IFERROR(VLOOKUP(B54,'Reel Register'!$B$4:$K$203,10,FALSE),""))</f>
        <v/>
      </c>
      <c r="G54" s="17" t="str">
        <f>IF(B54="","",IFERROR(VLOOKUP(B54,'Reel Register'!$B$4:$L$203,11,FALSE),""))</f>
        <v/>
      </c>
    </row>
    <row r="55" spans="1:7" x14ac:dyDescent="0.45">
      <c r="A55" s="13"/>
      <c r="B55" s="13"/>
      <c r="C55" s="16"/>
      <c r="D55" s="13"/>
      <c r="E55" s="13"/>
      <c r="F55" s="17" t="str">
        <f>IF(B55="","",IFERROR(VLOOKUP(B55,'Reel Register'!$B$4:$K$203,10,FALSE),""))</f>
        <v/>
      </c>
      <c r="G55" s="17" t="str">
        <f>IF(B55="","",IFERROR(VLOOKUP(B55,'Reel Register'!$B$4:$L$203,11,FALSE),""))</f>
        <v/>
      </c>
    </row>
    <row r="56" spans="1:7" x14ac:dyDescent="0.45">
      <c r="A56" s="13"/>
      <c r="B56" s="13"/>
      <c r="C56" s="16"/>
      <c r="D56" s="13"/>
      <c r="E56" s="13"/>
      <c r="F56" s="17" t="str">
        <f>IF(B56="","",IFERROR(VLOOKUP(B56,'Reel Register'!$B$4:$K$203,10,FALSE),""))</f>
        <v/>
      </c>
      <c r="G56" s="17" t="str">
        <f>IF(B56="","",IFERROR(VLOOKUP(B56,'Reel Register'!$B$4:$L$203,11,FALSE),""))</f>
        <v/>
      </c>
    </row>
    <row r="57" spans="1:7" x14ac:dyDescent="0.45">
      <c r="A57" s="13"/>
      <c r="B57" s="13"/>
      <c r="C57" s="16"/>
      <c r="D57" s="13"/>
      <c r="E57" s="13"/>
      <c r="F57" s="17" t="str">
        <f>IF(B57="","",IFERROR(VLOOKUP(B57,'Reel Register'!$B$4:$K$203,10,FALSE),""))</f>
        <v/>
      </c>
      <c r="G57" s="17" t="str">
        <f>IF(B57="","",IFERROR(VLOOKUP(B57,'Reel Register'!$B$4:$L$203,11,FALSE),""))</f>
        <v/>
      </c>
    </row>
    <row r="58" spans="1:7" x14ac:dyDescent="0.45">
      <c r="A58" s="13"/>
      <c r="B58" s="13"/>
      <c r="C58" s="16"/>
      <c r="D58" s="13"/>
      <c r="E58" s="13"/>
      <c r="F58" s="17" t="str">
        <f>IF(B58="","",IFERROR(VLOOKUP(B58,'Reel Register'!$B$4:$K$203,10,FALSE),""))</f>
        <v/>
      </c>
      <c r="G58" s="17" t="str">
        <f>IF(B58="","",IFERROR(VLOOKUP(B58,'Reel Register'!$B$4:$L$203,11,FALSE),""))</f>
        <v/>
      </c>
    </row>
    <row r="59" spans="1:7" x14ac:dyDescent="0.45">
      <c r="A59" s="13"/>
      <c r="B59" s="13"/>
      <c r="C59" s="16"/>
      <c r="D59" s="13"/>
      <c r="E59" s="13"/>
      <c r="F59" s="17" t="str">
        <f>IF(B59="","",IFERROR(VLOOKUP(B59,'Reel Register'!$B$4:$K$203,10,FALSE),""))</f>
        <v/>
      </c>
      <c r="G59" s="17" t="str">
        <f>IF(B59="","",IFERROR(VLOOKUP(B59,'Reel Register'!$B$4:$L$203,11,FALSE),""))</f>
        <v/>
      </c>
    </row>
    <row r="60" spans="1:7" x14ac:dyDescent="0.45">
      <c r="A60" s="13"/>
      <c r="B60" s="13"/>
      <c r="C60" s="16"/>
      <c r="D60" s="13"/>
      <c r="E60" s="13"/>
      <c r="F60" s="17" t="str">
        <f>IF(B60="","",IFERROR(VLOOKUP(B60,'Reel Register'!$B$4:$K$203,10,FALSE),""))</f>
        <v/>
      </c>
      <c r="G60" s="17" t="str">
        <f>IF(B60="","",IFERROR(VLOOKUP(B60,'Reel Register'!$B$4:$L$203,11,FALSE),""))</f>
        <v/>
      </c>
    </row>
    <row r="61" spans="1:7" x14ac:dyDescent="0.45">
      <c r="A61" s="13"/>
      <c r="B61" s="13"/>
      <c r="C61" s="16"/>
      <c r="D61" s="13"/>
      <c r="E61" s="13"/>
      <c r="F61" s="17" t="str">
        <f>IF(B61="","",IFERROR(VLOOKUP(B61,'Reel Register'!$B$4:$K$203,10,FALSE),""))</f>
        <v/>
      </c>
      <c r="G61" s="17" t="str">
        <f>IF(B61="","",IFERROR(VLOOKUP(B61,'Reel Register'!$B$4:$L$203,11,FALSE),""))</f>
        <v/>
      </c>
    </row>
    <row r="62" spans="1:7" x14ac:dyDescent="0.45">
      <c r="A62" s="13"/>
      <c r="B62" s="13"/>
      <c r="C62" s="16"/>
      <c r="D62" s="13"/>
      <c r="E62" s="13"/>
      <c r="F62" s="17" t="str">
        <f>IF(B62="","",IFERROR(VLOOKUP(B62,'Reel Register'!$B$4:$K$203,10,FALSE),""))</f>
        <v/>
      </c>
      <c r="G62" s="17" t="str">
        <f>IF(B62="","",IFERROR(VLOOKUP(B62,'Reel Register'!$B$4:$L$203,11,FALSE),""))</f>
        <v/>
      </c>
    </row>
    <row r="63" spans="1:7" x14ac:dyDescent="0.45">
      <c r="A63" s="13"/>
      <c r="B63" s="13"/>
      <c r="C63" s="16"/>
      <c r="D63" s="13"/>
      <c r="E63" s="13"/>
      <c r="F63" s="17" t="str">
        <f>IF(B63="","",IFERROR(VLOOKUP(B63,'Reel Register'!$B$4:$K$203,10,FALSE),""))</f>
        <v/>
      </c>
      <c r="G63" s="17" t="str">
        <f>IF(B63="","",IFERROR(VLOOKUP(B63,'Reel Register'!$B$4:$L$203,11,FALSE),""))</f>
        <v/>
      </c>
    </row>
    <row r="64" spans="1:7" x14ac:dyDescent="0.45">
      <c r="A64" s="13"/>
      <c r="B64" s="13"/>
      <c r="C64" s="16"/>
      <c r="D64" s="13"/>
      <c r="E64" s="13"/>
      <c r="F64" s="17" t="str">
        <f>IF(B64="","",IFERROR(VLOOKUP(B64,'Reel Register'!$B$4:$K$203,10,FALSE),""))</f>
        <v/>
      </c>
      <c r="G64" s="17" t="str">
        <f>IF(B64="","",IFERROR(VLOOKUP(B64,'Reel Register'!$B$4:$L$203,11,FALSE),""))</f>
        <v/>
      </c>
    </row>
    <row r="65" spans="1:7" x14ac:dyDescent="0.45">
      <c r="A65" s="13"/>
      <c r="B65" s="13"/>
      <c r="C65" s="16"/>
      <c r="D65" s="13"/>
      <c r="E65" s="13"/>
      <c r="F65" s="17" t="str">
        <f>IF(B65="","",IFERROR(VLOOKUP(B65,'Reel Register'!$B$4:$K$203,10,FALSE),""))</f>
        <v/>
      </c>
      <c r="G65" s="17" t="str">
        <f>IF(B65="","",IFERROR(VLOOKUP(B65,'Reel Register'!$B$4:$L$203,11,FALSE),""))</f>
        <v/>
      </c>
    </row>
    <row r="66" spans="1:7" x14ac:dyDescent="0.45">
      <c r="A66" s="13"/>
      <c r="B66" s="13"/>
      <c r="C66" s="16"/>
      <c r="D66" s="13"/>
      <c r="E66" s="13"/>
      <c r="F66" s="17" t="str">
        <f>IF(B66="","",IFERROR(VLOOKUP(B66,'Reel Register'!$B$4:$K$203,10,FALSE),""))</f>
        <v/>
      </c>
      <c r="G66" s="17" t="str">
        <f>IF(B66="","",IFERROR(VLOOKUP(B66,'Reel Register'!$B$4:$L$203,11,FALSE),""))</f>
        <v/>
      </c>
    </row>
    <row r="67" spans="1:7" x14ac:dyDescent="0.45">
      <c r="A67" s="13"/>
      <c r="B67" s="13"/>
      <c r="C67" s="16"/>
      <c r="D67" s="13"/>
      <c r="E67" s="13"/>
      <c r="F67" s="17" t="str">
        <f>IF(B67="","",IFERROR(VLOOKUP(B67,'Reel Register'!$B$4:$K$203,10,FALSE),""))</f>
        <v/>
      </c>
      <c r="G67" s="17" t="str">
        <f>IF(B67="","",IFERROR(VLOOKUP(B67,'Reel Register'!$B$4:$L$203,11,FALSE),""))</f>
        <v/>
      </c>
    </row>
    <row r="68" spans="1:7" x14ac:dyDescent="0.45">
      <c r="A68" s="13"/>
      <c r="B68" s="13"/>
      <c r="C68" s="16"/>
      <c r="D68" s="13"/>
      <c r="E68" s="13"/>
      <c r="F68" s="17" t="str">
        <f>IF(B68="","",IFERROR(VLOOKUP(B68,'Reel Register'!$B$4:$K$203,10,FALSE),""))</f>
        <v/>
      </c>
      <c r="G68" s="17" t="str">
        <f>IF(B68="","",IFERROR(VLOOKUP(B68,'Reel Register'!$B$4:$L$203,11,FALSE),""))</f>
        <v/>
      </c>
    </row>
    <row r="69" spans="1:7" x14ac:dyDescent="0.45">
      <c r="A69" s="13"/>
      <c r="B69" s="13"/>
      <c r="C69" s="16"/>
      <c r="D69" s="13"/>
      <c r="E69" s="13"/>
      <c r="F69" s="17" t="str">
        <f>IF(B69="","",IFERROR(VLOOKUP(B69,'Reel Register'!$B$4:$K$203,10,FALSE),""))</f>
        <v/>
      </c>
      <c r="G69" s="17" t="str">
        <f>IF(B69="","",IFERROR(VLOOKUP(B69,'Reel Register'!$B$4:$L$203,11,FALSE),""))</f>
        <v/>
      </c>
    </row>
    <row r="70" spans="1:7" x14ac:dyDescent="0.45">
      <c r="A70" s="13"/>
      <c r="B70" s="13"/>
      <c r="C70" s="16"/>
      <c r="D70" s="13"/>
      <c r="E70" s="13"/>
      <c r="F70" s="17" t="str">
        <f>IF(B70="","",IFERROR(VLOOKUP(B70,'Reel Register'!$B$4:$K$203,10,FALSE),""))</f>
        <v/>
      </c>
      <c r="G70" s="17" t="str">
        <f>IF(B70="","",IFERROR(VLOOKUP(B70,'Reel Register'!$B$4:$L$203,11,FALSE),""))</f>
        <v/>
      </c>
    </row>
    <row r="71" spans="1:7" x14ac:dyDescent="0.45">
      <c r="A71" s="13"/>
      <c r="B71" s="13"/>
      <c r="C71" s="16"/>
      <c r="D71" s="13"/>
      <c r="E71" s="13"/>
      <c r="F71" s="17" t="str">
        <f>IF(B71="","",IFERROR(VLOOKUP(B71,'Reel Register'!$B$4:$K$203,10,FALSE),""))</f>
        <v/>
      </c>
      <c r="G71" s="17" t="str">
        <f>IF(B71="","",IFERROR(VLOOKUP(B71,'Reel Register'!$B$4:$L$203,11,FALSE),""))</f>
        <v/>
      </c>
    </row>
    <row r="72" spans="1:7" x14ac:dyDescent="0.45">
      <c r="A72" s="13"/>
      <c r="B72" s="13"/>
      <c r="C72" s="16"/>
      <c r="D72" s="13"/>
      <c r="E72" s="13"/>
      <c r="F72" s="17" t="str">
        <f>IF(B72="","",IFERROR(VLOOKUP(B72,'Reel Register'!$B$4:$K$203,10,FALSE),""))</f>
        <v/>
      </c>
      <c r="G72" s="17" t="str">
        <f>IF(B72="","",IFERROR(VLOOKUP(B72,'Reel Register'!$B$4:$L$203,11,FALSE),""))</f>
        <v/>
      </c>
    </row>
    <row r="73" spans="1:7" x14ac:dyDescent="0.45">
      <c r="A73" s="13"/>
      <c r="B73" s="13"/>
      <c r="C73" s="16"/>
      <c r="D73" s="13"/>
      <c r="E73" s="13"/>
      <c r="F73" s="17" t="str">
        <f>IF(B73="","",IFERROR(VLOOKUP(B73,'Reel Register'!$B$4:$K$203,10,FALSE),""))</f>
        <v/>
      </c>
      <c r="G73" s="17" t="str">
        <f>IF(B73="","",IFERROR(VLOOKUP(B73,'Reel Register'!$B$4:$L$203,11,FALSE),""))</f>
        <v/>
      </c>
    </row>
    <row r="74" spans="1:7" x14ac:dyDescent="0.45">
      <c r="A74" s="13"/>
      <c r="B74" s="13"/>
      <c r="C74" s="16"/>
      <c r="D74" s="13"/>
      <c r="E74" s="13"/>
      <c r="F74" s="17" t="str">
        <f>IF(B74="","",IFERROR(VLOOKUP(B74,'Reel Register'!$B$4:$K$203,10,FALSE),""))</f>
        <v/>
      </c>
      <c r="G74" s="17" t="str">
        <f>IF(B74="","",IFERROR(VLOOKUP(B74,'Reel Register'!$B$4:$L$203,11,FALSE),""))</f>
        <v/>
      </c>
    </row>
    <row r="75" spans="1:7" x14ac:dyDescent="0.45">
      <c r="A75" s="13"/>
      <c r="B75" s="13"/>
      <c r="C75" s="16"/>
      <c r="D75" s="13"/>
      <c r="E75" s="13"/>
      <c r="F75" s="17" t="str">
        <f>IF(B75="","",IFERROR(VLOOKUP(B75,'Reel Register'!$B$4:$K$203,10,FALSE),""))</f>
        <v/>
      </c>
      <c r="G75" s="17" t="str">
        <f>IF(B75="","",IFERROR(VLOOKUP(B75,'Reel Register'!$B$4:$L$203,11,FALSE),""))</f>
        <v/>
      </c>
    </row>
    <row r="76" spans="1:7" x14ac:dyDescent="0.45">
      <c r="A76" s="13"/>
      <c r="B76" s="13"/>
      <c r="C76" s="16"/>
      <c r="D76" s="13"/>
      <c r="E76" s="13"/>
      <c r="F76" s="17" t="str">
        <f>IF(B76="","",IFERROR(VLOOKUP(B76,'Reel Register'!$B$4:$K$203,10,FALSE),""))</f>
        <v/>
      </c>
      <c r="G76" s="17" t="str">
        <f>IF(B76="","",IFERROR(VLOOKUP(B76,'Reel Register'!$B$4:$L$203,11,FALSE),""))</f>
        <v/>
      </c>
    </row>
    <row r="77" spans="1:7" x14ac:dyDescent="0.45">
      <c r="A77" s="13"/>
      <c r="B77" s="13"/>
      <c r="C77" s="16"/>
      <c r="D77" s="13"/>
      <c r="E77" s="13"/>
      <c r="F77" s="17" t="str">
        <f>IF(B77="","",IFERROR(VLOOKUP(B77,'Reel Register'!$B$4:$K$203,10,FALSE),""))</f>
        <v/>
      </c>
      <c r="G77" s="17" t="str">
        <f>IF(B77="","",IFERROR(VLOOKUP(B77,'Reel Register'!$B$4:$L$203,11,FALSE),""))</f>
        <v/>
      </c>
    </row>
    <row r="78" spans="1:7" x14ac:dyDescent="0.45">
      <c r="A78" s="13"/>
      <c r="B78" s="13"/>
      <c r="C78" s="16"/>
      <c r="D78" s="13"/>
      <c r="E78" s="13"/>
      <c r="F78" s="17" t="str">
        <f>IF(B78="","",IFERROR(VLOOKUP(B78,'Reel Register'!$B$4:$K$203,10,FALSE),""))</f>
        <v/>
      </c>
      <c r="G78" s="17" t="str">
        <f>IF(B78="","",IFERROR(VLOOKUP(B78,'Reel Register'!$B$4:$L$203,11,FALSE),""))</f>
        <v/>
      </c>
    </row>
    <row r="79" spans="1:7" x14ac:dyDescent="0.45">
      <c r="A79" s="13"/>
      <c r="B79" s="13"/>
      <c r="C79" s="16"/>
      <c r="D79" s="13"/>
      <c r="E79" s="13"/>
      <c r="F79" s="17" t="str">
        <f>IF(B79="","",IFERROR(VLOOKUP(B79,'Reel Register'!$B$4:$K$203,10,FALSE),""))</f>
        <v/>
      </c>
      <c r="G79" s="17" t="str">
        <f>IF(B79="","",IFERROR(VLOOKUP(B79,'Reel Register'!$B$4:$L$203,11,FALSE),""))</f>
        <v/>
      </c>
    </row>
    <row r="80" spans="1:7" x14ac:dyDescent="0.45">
      <c r="A80" s="13"/>
      <c r="B80" s="13"/>
      <c r="C80" s="16"/>
      <c r="D80" s="13"/>
      <c r="E80" s="13"/>
      <c r="F80" s="17" t="str">
        <f>IF(B80="","",IFERROR(VLOOKUP(B80,'Reel Register'!$B$4:$K$203,10,FALSE),""))</f>
        <v/>
      </c>
      <c r="G80" s="17" t="str">
        <f>IF(B80="","",IFERROR(VLOOKUP(B80,'Reel Register'!$B$4:$L$203,11,FALSE),""))</f>
        <v/>
      </c>
    </row>
    <row r="81" spans="1:7" x14ac:dyDescent="0.45">
      <c r="A81" s="13"/>
      <c r="B81" s="13"/>
      <c r="C81" s="16"/>
      <c r="D81" s="13"/>
      <c r="E81" s="13"/>
      <c r="F81" s="17" t="str">
        <f>IF(B81="","",IFERROR(VLOOKUP(B81,'Reel Register'!$B$4:$K$203,10,FALSE),""))</f>
        <v/>
      </c>
      <c r="G81" s="17" t="str">
        <f>IF(B81="","",IFERROR(VLOOKUP(B81,'Reel Register'!$B$4:$L$203,11,FALSE),""))</f>
        <v/>
      </c>
    </row>
    <row r="82" spans="1:7" x14ac:dyDescent="0.45">
      <c r="A82" s="13"/>
      <c r="B82" s="13"/>
      <c r="C82" s="16"/>
      <c r="D82" s="13"/>
      <c r="E82" s="13"/>
      <c r="F82" s="17" t="str">
        <f>IF(B82="","",IFERROR(VLOOKUP(B82,'Reel Register'!$B$4:$K$203,10,FALSE),""))</f>
        <v/>
      </c>
      <c r="G82" s="17" t="str">
        <f>IF(B82="","",IFERROR(VLOOKUP(B82,'Reel Register'!$B$4:$L$203,11,FALSE),""))</f>
        <v/>
      </c>
    </row>
    <row r="83" spans="1:7" x14ac:dyDescent="0.45">
      <c r="A83" s="13"/>
      <c r="B83" s="13"/>
      <c r="C83" s="16"/>
      <c r="D83" s="13"/>
      <c r="E83" s="13"/>
      <c r="F83" s="17" t="str">
        <f>IF(B83="","",IFERROR(VLOOKUP(B83,'Reel Register'!$B$4:$K$203,10,FALSE),""))</f>
        <v/>
      </c>
      <c r="G83" s="17" t="str">
        <f>IF(B83="","",IFERROR(VLOOKUP(B83,'Reel Register'!$B$4:$L$203,11,FALSE),""))</f>
        <v/>
      </c>
    </row>
    <row r="84" spans="1:7" x14ac:dyDescent="0.45">
      <c r="A84" s="13"/>
      <c r="B84" s="13"/>
      <c r="C84" s="16"/>
      <c r="D84" s="13"/>
      <c r="E84" s="13"/>
      <c r="F84" s="17" t="str">
        <f>IF(B84="","",IFERROR(VLOOKUP(B84,'Reel Register'!$B$4:$K$203,10,FALSE),""))</f>
        <v/>
      </c>
      <c r="G84" s="17" t="str">
        <f>IF(B84="","",IFERROR(VLOOKUP(B84,'Reel Register'!$B$4:$L$203,11,FALSE),""))</f>
        <v/>
      </c>
    </row>
    <row r="85" spans="1:7" x14ac:dyDescent="0.45">
      <c r="A85" s="13"/>
      <c r="B85" s="13"/>
      <c r="C85" s="16"/>
      <c r="D85" s="13"/>
      <c r="E85" s="13"/>
      <c r="F85" s="17" t="str">
        <f>IF(B85="","",IFERROR(VLOOKUP(B85,'Reel Register'!$B$4:$K$203,10,FALSE),""))</f>
        <v/>
      </c>
      <c r="G85" s="17" t="str">
        <f>IF(B85="","",IFERROR(VLOOKUP(B85,'Reel Register'!$B$4:$L$203,11,FALSE),""))</f>
        <v/>
      </c>
    </row>
    <row r="86" spans="1:7" x14ac:dyDescent="0.45">
      <c r="A86" s="13"/>
      <c r="B86" s="13"/>
      <c r="C86" s="16"/>
      <c r="D86" s="13"/>
      <c r="E86" s="13"/>
      <c r="F86" s="17" t="str">
        <f>IF(B86="","",IFERROR(VLOOKUP(B86,'Reel Register'!$B$4:$K$203,10,FALSE),""))</f>
        <v/>
      </c>
      <c r="G86" s="17" t="str">
        <f>IF(B86="","",IFERROR(VLOOKUP(B86,'Reel Register'!$B$4:$L$203,11,FALSE),""))</f>
        <v/>
      </c>
    </row>
    <row r="87" spans="1:7" x14ac:dyDescent="0.45">
      <c r="A87" s="13"/>
      <c r="B87" s="13"/>
      <c r="C87" s="16"/>
      <c r="D87" s="13"/>
      <c r="E87" s="13"/>
      <c r="F87" s="17" t="str">
        <f>IF(B87="","",IFERROR(VLOOKUP(B87,'Reel Register'!$B$4:$K$203,10,FALSE),""))</f>
        <v/>
      </c>
      <c r="G87" s="17" t="str">
        <f>IF(B87="","",IFERROR(VLOOKUP(B87,'Reel Register'!$B$4:$L$203,11,FALSE),""))</f>
        <v/>
      </c>
    </row>
    <row r="88" spans="1:7" x14ac:dyDescent="0.45">
      <c r="A88" s="13"/>
      <c r="B88" s="13"/>
      <c r="C88" s="16"/>
      <c r="D88" s="13"/>
      <c r="E88" s="13"/>
      <c r="F88" s="17" t="str">
        <f>IF(B88="","",IFERROR(VLOOKUP(B88,'Reel Register'!$B$4:$K$203,10,FALSE),""))</f>
        <v/>
      </c>
      <c r="G88" s="17" t="str">
        <f>IF(B88="","",IFERROR(VLOOKUP(B88,'Reel Register'!$B$4:$L$203,11,FALSE),""))</f>
        <v/>
      </c>
    </row>
    <row r="89" spans="1:7" x14ac:dyDescent="0.45">
      <c r="A89" s="13"/>
      <c r="B89" s="13"/>
      <c r="C89" s="16"/>
      <c r="D89" s="13"/>
      <c r="E89" s="13"/>
      <c r="F89" s="17" t="str">
        <f>IF(B89="","",IFERROR(VLOOKUP(B89,'Reel Register'!$B$4:$K$203,10,FALSE),""))</f>
        <v/>
      </c>
      <c r="G89" s="17" t="str">
        <f>IF(B89="","",IFERROR(VLOOKUP(B89,'Reel Register'!$B$4:$L$203,11,FALSE),""))</f>
        <v/>
      </c>
    </row>
    <row r="90" spans="1:7" x14ac:dyDescent="0.45">
      <c r="A90" s="13"/>
      <c r="B90" s="13"/>
      <c r="C90" s="16"/>
      <c r="D90" s="13"/>
      <c r="E90" s="13"/>
      <c r="F90" s="17" t="str">
        <f>IF(B90="","",IFERROR(VLOOKUP(B90,'Reel Register'!$B$4:$K$203,10,FALSE),""))</f>
        <v/>
      </c>
      <c r="G90" s="17" t="str">
        <f>IF(B90="","",IFERROR(VLOOKUP(B90,'Reel Register'!$B$4:$L$203,11,FALSE),""))</f>
        <v/>
      </c>
    </row>
    <row r="91" spans="1:7" x14ac:dyDescent="0.45">
      <c r="A91" s="13"/>
      <c r="B91" s="13"/>
      <c r="C91" s="16"/>
      <c r="D91" s="13"/>
      <c r="E91" s="13"/>
      <c r="F91" s="17" t="str">
        <f>IF(B91="","",IFERROR(VLOOKUP(B91,'Reel Register'!$B$4:$K$203,10,FALSE),""))</f>
        <v/>
      </c>
      <c r="G91" s="17" t="str">
        <f>IF(B91="","",IFERROR(VLOOKUP(B91,'Reel Register'!$B$4:$L$203,11,FALSE),""))</f>
        <v/>
      </c>
    </row>
    <row r="92" spans="1:7" x14ac:dyDescent="0.45">
      <c r="A92" s="13"/>
      <c r="B92" s="13"/>
      <c r="C92" s="16"/>
      <c r="D92" s="13"/>
      <c r="E92" s="13"/>
      <c r="F92" s="17" t="str">
        <f>IF(B92="","",IFERROR(VLOOKUP(B92,'Reel Register'!$B$4:$K$203,10,FALSE),""))</f>
        <v/>
      </c>
      <c r="G92" s="17" t="str">
        <f>IF(B92="","",IFERROR(VLOOKUP(B92,'Reel Register'!$B$4:$L$203,11,FALSE),""))</f>
        <v/>
      </c>
    </row>
    <row r="93" spans="1:7" x14ac:dyDescent="0.45">
      <c r="A93" s="13"/>
      <c r="B93" s="13"/>
      <c r="C93" s="16"/>
      <c r="D93" s="13"/>
      <c r="E93" s="13"/>
      <c r="F93" s="17" t="str">
        <f>IF(B93="","",IFERROR(VLOOKUP(B93,'Reel Register'!$B$4:$K$203,10,FALSE),""))</f>
        <v/>
      </c>
      <c r="G93" s="17" t="str">
        <f>IF(B93="","",IFERROR(VLOOKUP(B93,'Reel Register'!$B$4:$L$203,11,FALSE),""))</f>
        <v/>
      </c>
    </row>
    <row r="94" spans="1:7" x14ac:dyDescent="0.45">
      <c r="A94" s="13"/>
      <c r="B94" s="13"/>
      <c r="C94" s="16"/>
      <c r="D94" s="13"/>
      <c r="E94" s="13"/>
      <c r="F94" s="17" t="str">
        <f>IF(B94="","",IFERROR(VLOOKUP(B94,'Reel Register'!$B$4:$K$203,10,FALSE),""))</f>
        <v/>
      </c>
      <c r="G94" s="17" t="str">
        <f>IF(B94="","",IFERROR(VLOOKUP(B94,'Reel Register'!$B$4:$L$203,11,FALSE),""))</f>
        <v/>
      </c>
    </row>
    <row r="95" spans="1:7" x14ac:dyDescent="0.45">
      <c r="A95" s="13"/>
      <c r="B95" s="13"/>
      <c r="C95" s="16"/>
      <c r="D95" s="13"/>
      <c r="E95" s="13"/>
      <c r="F95" s="17" t="str">
        <f>IF(B95="","",IFERROR(VLOOKUP(B95,'Reel Register'!$B$4:$K$203,10,FALSE),""))</f>
        <v/>
      </c>
      <c r="G95" s="17" t="str">
        <f>IF(B95="","",IFERROR(VLOOKUP(B95,'Reel Register'!$B$4:$L$203,11,FALSE),""))</f>
        <v/>
      </c>
    </row>
    <row r="96" spans="1:7" x14ac:dyDescent="0.45">
      <c r="A96" s="13"/>
      <c r="B96" s="13"/>
      <c r="C96" s="16"/>
      <c r="D96" s="13"/>
      <c r="E96" s="13"/>
      <c r="F96" s="17" t="str">
        <f>IF(B96="","",IFERROR(VLOOKUP(B96,'Reel Register'!$B$4:$K$203,10,FALSE),""))</f>
        <v/>
      </c>
      <c r="G96" s="17" t="str">
        <f>IF(B96="","",IFERROR(VLOOKUP(B96,'Reel Register'!$B$4:$L$203,11,FALSE),""))</f>
        <v/>
      </c>
    </row>
    <row r="97" spans="1:7" x14ac:dyDescent="0.45">
      <c r="A97" s="13"/>
      <c r="B97" s="13"/>
      <c r="C97" s="16"/>
      <c r="D97" s="13"/>
      <c r="E97" s="13"/>
      <c r="F97" s="17" t="str">
        <f>IF(B97="","",IFERROR(VLOOKUP(B97,'Reel Register'!$B$4:$K$203,10,FALSE),""))</f>
        <v/>
      </c>
      <c r="G97" s="17" t="str">
        <f>IF(B97="","",IFERROR(VLOOKUP(B97,'Reel Register'!$B$4:$L$203,11,FALSE),""))</f>
        <v/>
      </c>
    </row>
    <row r="98" spans="1:7" x14ac:dyDescent="0.45">
      <c r="A98" s="13"/>
      <c r="B98" s="13"/>
      <c r="C98" s="16"/>
      <c r="D98" s="13"/>
      <c r="E98" s="13"/>
      <c r="F98" s="17" t="str">
        <f>IF(B98="","",IFERROR(VLOOKUP(B98,'Reel Register'!$B$4:$K$203,10,FALSE),""))</f>
        <v/>
      </c>
      <c r="G98" s="17" t="str">
        <f>IF(B98="","",IFERROR(VLOOKUP(B98,'Reel Register'!$B$4:$L$203,11,FALSE),""))</f>
        <v/>
      </c>
    </row>
    <row r="99" spans="1:7" x14ac:dyDescent="0.45">
      <c r="A99" s="13"/>
      <c r="B99" s="13"/>
      <c r="C99" s="16"/>
      <c r="D99" s="13"/>
      <c r="E99" s="13"/>
      <c r="F99" s="17" t="str">
        <f>IF(B99="","",IFERROR(VLOOKUP(B99,'Reel Register'!$B$4:$K$203,10,FALSE),""))</f>
        <v/>
      </c>
      <c r="G99" s="17" t="str">
        <f>IF(B99="","",IFERROR(VLOOKUP(B99,'Reel Register'!$B$4:$L$203,11,FALSE),""))</f>
        <v/>
      </c>
    </row>
    <row r="100" spans="1:7" x14ac:dyDescent="0.45">
      <c r="A100" s="13"/>
      <c r="B100" s="13"/>
      <c r="C100" s="16"/>
      <c r="D100" s="13"/>
      <c r="E100" s="13"/>
      <c r="F100" s="17" t="str">
        <f>IF(B100="","",IFERROR(VLOOKUP(B100,'Reel Register'!$B$4:$K$203,10,FALSE),""))</f>
        <v/>
      </c>
      <c r="G100" s="17" t="str">
        <f>IF(B100="","",IFERROR(VLOOKUP(B100,'Reel Register'!$B$4:$L$203,11,FALSE),""))</f>
        <v/>
      </c>
    </row>
    <row r="101" spans="1:7" x14ac:dyDescent="0.45">
      <c r="A101" s="13"/>
      <c r="B101" s="13"/>
      <c r="C101" s="16"/>
      <c r="D101" s="13"/>
      <c r="E101" s="13"/>
      <c r="F101" s="17" t="str">
        <f>IF(B101="","",IFERROR(VLOOKUP(B101,'Reel Register'!$B$4:$K$203,10,FALSE),""))</f>
        <v/>
      </c>
      <c r="G101" s="17" t="str">
        <f>IF(B101="","",IFERROR(VLOOKUP(B101,'Reel Register'!$B$4:$L$203,11,FALSE),""))</f>
        <v/>
      </c>
    </row>
    <row r="102" spans="1:7" x14ac:dyDescent="0.45">
      <c r="A102" s="13"/>
      <c r="B102" s="13"/>
      <c r="C102" s="16"/>
      <c r="D102" s="13"/>
      <c r="E102" s="13"/>
      <c r="F102" s="17" t="str">
        <f>IF(B102="","",IFERROR(VLOOKUP(B102,'Reel Register'!$B$4:$K$203,10,FALSE),""))</f>
        <v/>
      </c>
      <c r="G102" s="17" t="str">
        <f>IF(B102="","",IFERROR(VLOOKUP(B102,'Reel Register'!$B$4:$L$203,11,FALSE),""))</f>
        <v/>
      </c>
    </row>
    <row r="103" spans="1:7" x14ac:dyDescent="0.45">
      <c r="A103" s="13"/>
      <c r="B103" s="13"/>
      <c r="C103" s="16"/>
      <c r="D103" s="13"/>
      <c r="E103" s="13"/>
      <c r="F103" s="17" t="str">
        <f>IF(B103="","",IFERROR(VLOOKUP(B103,'Reel Register'!$B$4:$K$203,10,FALSE),""))</f>
        <v/>
      </c>
      <c r="G103" s="17" t="str">
        <f>IF(B103="","",IFERROR(VLOOKUP(B103,'Reel Register'!$B$4:$L$203,11,FALSE),""))</f>
        <v/>
      </c>
    </row>
    <row r="104" spans="1:7" x14ac:dyDescent="0.45">
      <c r="A104" s="13"/>
      <c r="B104" s="13"/>
      <c r="C104" s="16"/>
      <c r="D104" s="13"/>
      <c r="E104" s="13"/>
      <c r="F104" s="17" t="str">
        <f>IF(B104="","",IFERROR(VLOOKUP(B104,'Reel Register'!$B$4:$K$203,10,FALSE),""))</f>
        <v/>
      </c>
      <c r="G104" s="17" t="str">
        <f>IF(B104="","",IFERROR(VLOOKUP(B104,'Reel Register'!$B$4:$L$203,11,FALSE),""))</f>
        <v/>
      </c>
    </row>
    <row r="105" spans="1:7" x14ac:dyDescent="0.45">
      <c r="A105" s="13"/>
      <c r="B105" s="13"/>
      <c r="C105" s="16"/>
      <c r="D105" s="13"/>
      <c r="E105" s="13"/>
      <c r="F105" s="17" t="str">
        <f>IF(B105="","",IFERROR(VLOOKUP(B105,'Reel Register'!$B$4:$K$203,10,FALSE),""))</f>
        <v/>
      </c>
      <c r="G105" s="17" t="str">
        <f>IF(B105="","",IFERROR(VLOOKUP(B105,'Reel Register'!$B$4:$L$203,11,FALSE),""))</f>
        <v/>
      </c>
    </row>
    <row r="106" spans="1:7" x14ac:dyDescent="0.45">
      <c r="A106" s="13"/>
      <c r="B106" s="13"/>
      <c r="C106" s="16"/>
      <c r="D106" s="13"/>
      <c r="E106" s="13"/>
      <c r="F106" s="17" t="str">
        <f>IF(B106="","",IFERROR(VLOOKUP(B106,'Reel Register'!$B$4:$K$203,10,FALSE),""))</f>
        <v/>
      </c>
      <c r="G106" s="17" t="str">
        <f>IF(B106="","",IFERROR(VLOOKUP(B106,'Reel Register'!$B$4:$L$203,11,FALSE),""))</f>
        <v/>
      </c>
    </row>
    <row r="107" spans="1:7" x14ac:dyDescent="0.45">
      <c r="A107" s="13"/>
      <c r="B107" s="13"/>
      <c r="C107" s="16"/>
      <c r="D107" s="13"/>
      <c r="E107" s="13"/>
      <c r="F107" s="17" t="str">
        <f>IF(B107="","",IFERROR(VLOOKUP(B107,'Reel Register'!$B$4:$K$203,10,FALSE),""))</f>
        <v/>
      </c>
      <c r="G107" s="17" t="str">
        <f>IF(B107="","",IFERROR(VLOOKUP(B107,'Reel Register'!$B$4:$L$203,11,FALSE),""))</f>
        <v/>
      </c>
    </row>
    <row r="108" spans="1:7" x14ac:dyDescent="0.45">
      <c r="A108" s="13"/>
      <c r="B108" s="13"/>
      <c r="C108" s="16"/>
      <c r="D108" s="13"/>
      <c r="E108" s="13"/>
      <c r="F108" s="17" t="str">
        <f>IF(B108="","",IFERROR(VLOOKUP(B108,'Reel Register'!$B$4:$K$203,10,FALSE),""))</f>
        <v/>
      </c>
      <c r="G108" s="17" t="str">
        <f>IF(B108="","",IFERROR(VLOOKUP(B108,'Reel Register'!$B$4:$L$203,11,FALSE),""))</f>
        <v/>
      </c>
    </row>
    <row r="109" spans="1:7" x14ac:dyDescent="0.45">
      <c r="A109" s="13"/>
      <c r="B109" s="13"/>
      <c r="C109" s="16"/>
      <c r="D109" s="13"/>
      <c r="E109" s="13"/>
      <c r="F109" s="17" t="str">
        <f>IF(B109="","",IFERROR(VLOOKUP(B109,'Reel Register'!$B$4:$K$203,10,FALSE),""))</f>
        <v/>
      </c>
      <c r="G109" s="17" t="str">
        <f>IF(B109="","",IFERROR(VLOOKUP(B109,'Reel Register'!$B$4:$L$203,11,FALSE),""))</f>
        <v/>
      </c>
    </row>
    <row r="110" spans="1:7" x14ac:dyDescent="0.45">
      <c r="A110" s="13"/>
      <c r="B110" s="13"/>
      <c r="C110" s="16"/>
      <c r="D110" s="13"/>
      <c r="E110" s="13"/>
      <c r="F110" s="17" t="str">
        <f>IF(B110="","",IFERROR(VLOOKUP(B110,'Reel Register'!$B$4:$K$203,10,FALSE),""))</f>
        <v/>
      </c>
      <c r="G110" s="17" t="str">
        <f>IF(B110="","",IFERROR(VLOOKUP(B110,'Reel Register'!$B$4:$L$203,11,FALSE),""))</f>
        <v/>
      </c>
    </row>
    <row r="111" spans="1:7" x14ac:dyDescent="0.45">
      <c r="A111" s="13"/>
      <c r="B111" s="13"/>
      <c r="C111" s="16"/>
      <c r="D111" s="13"/>
      <c r="E111" s="13"/>
      <c r="F111" s="17" t="str">
        <f>IF(B111="","",IFERROR(VLOOKUP(B111,'Reel Register'!$B$4:$K$203,10,FALSE),""))</f>
        <v/>
      </c>
      <c r="G111" s="17" t="str">
        <f>IF(B111="","",IFERROR(VLOOKUP(B111,'Reel Register'!$B$4:$L$203,11,FALSE),""))</f>
        <v/>
      </c>
    </row>
    <row r="112" spans="1:7" x14ac:dyDescent="0.45">
      <c r="A112" s="13"/>
      <c r="B112" s="13"/>
      <c r="C112" s="16"/>
      <c r="D112" s="13"/>
      <c r="E112" s="13"/>
      <c r="F112" s="17" t="str">
        <f>IF(B112="","",IFERROR(VLOOKUP(B112,'Reel Register'!$B$4:$K$203,10,FALSE),""))</f>
        <v/>
      </c>
      <c r="G112" s="17" t="str">
        <f>IF(B112="","",IFERROR(VLOOKUP(B112,'Reel Register'!$B$4:$L$203,11,FALSE),""))</f>
        <v/>
      </c>
    </row>
    <row r="113" spans="1:7" x14ac:dyDescent="0.45">
      <c r="A113" s="13"/>
      <c r="B113" s="13"/>
      <c r="C113" s="16"/>
      <c r="D113" s="13"/>
      <c r="E113" s="13"/>
      <c r="F113" s="17" t="str">
        <f>IF(B113="","",IFERROR(VLOOKUP(B113,'Reel Register'!$B$4:$K$203,10,FALSE),""))</f>
        <v/>
      </c>
      <c r="G113" s="17" t="str">
        <f>IF(B113="","",IFERROR(VLOOKUP(B113,'Reel Register'!$B$4:$L$203,11,FALSE),""))</f>
        <v/>
      </c>
    </row>
    <row r="114" spans="1:7" x14ac:dyDescent="0.45">
      <c r="A114" s="13"/>
      <c r="B114" s="13"/>
      <c r="C114" s="16"/>
      <c r="D114" s="13"/>
      <c r="E114" s="13"/>
      <c r="F114" s="17" t="str">
        <f>IF(B114="","",IFERROR(VLOOKUP(B114,'Reel Register'!$B$4:$K$203,10,FALSE),""))</f>
        <v/>
      </c>
      <c r="G114" s="17" t="str">
        <f>IF(B114="","",IFERROR(VLOOKUP(B114,'Reel Register'!$B$4:$L$203,11,FALSE),""))</f>
        <v/>
      </c>
    </row>
    <row r="115" spans="1:7" x14ac:dyDescent="0.45">
      <c r="A115" s="13"/>
      <c r="B115" s="13"/>
      <c r="C115" s="16"/>
      <c r="D115" s="13"/>
      <c r="E115" s="13"/>
      <c r="F115" s="17" t="str">
        <f>IF(B115="","",IFERROR(VLOOKUP(B115,'Reel Register'!$B$4:$K$203,10,FALSE),""))</f>
        <v/>
      </c>
      <c r="G115" s="17" t="str">
        <f>IF(B115="","",IFERROR(VLOOKUP(B115,'Reel Register'!$B$4:$L$203,11,FALSE),""))</f>
        <v/>
      </c>
    </row>
    <row r="116" spans="1:7" x14ac:dyDescent="0.45">
      <c r="A116" s="13"/>
      <c r="B116" s="13"/>
      <c r="C116" s="16"/>
      <c r="D116" s="13"/>
      <c r="E116" s="13"/>
      <c r="F116" s="17" t="str">
        <f>IF(B116="","",IFERROR(VLOOKUP(B116,'Reel Register'!$B$4:$K$203,10,FALSE),""))</f>
        <v/>
      </c>
      <c r="G116" s="17" t="str">
        <f>IF(B116="","",IFERROR(VLOOKUP(B116,'Reel Register'!$B$4:$L$203,11,FALSE),""))</f>
        <v/>
      </c>
    </row>
    <row r="117" spans="1:7" x14ac:dyDescent="0.45">
      <c r="A117" s="13"/>
      <c r="B117" s="13"/>
      <c r="C117" s="16"/>
      <c r="D117" s="13"/>
      <c r="E117" s="13"/>
      <c r="F117" s="17" t="str">
        <f>IF(B117="","",IFERROR(VLOOKUP(B117,'Reel Register'!$B$4:$K$203,10,FALSE),""))</f>
        <v/>
      </c>
      <c r="G117" s="17" t="str">
        <f>IF(B117="","",IFERROR(VLOOKUP(B117,'Reel Register'!$B$4:$L$203,11,FALSE),""))</f>
        <v/>
      </c>
    </row>
    <row r="118" spans="1:7" x14ac:dyDescent="0.45">
      <c r="A118" s="13"/>
      <c r="B118" s="13"/>
      <c r="C118" s="16"/>
      <c r="D118" s="13"/>
      <c r="E118" s="13"/>
      <c r="F118" s="17" t="str">
        <f>IF(B118="","",IFERROR(VLOOKUP(B118,'Reel Register'!$B$4:$K$203,10,FALSE),""))</f>
        <v/>
      </c>
      <c r="G118" s="17" t="str">
        <f>IF(B118="","",IFERROR(VLOOKUP(B118,'Reel Register'!$B$4:$L$203,11,FALSE),""))</f>
        <v/>
      </c>
    </row>
    <row r="119" spans="1:7" x14ac:dyDescent="0.45">
      <c r="A119" s="13"/>
      <c r="B119" s="13"/>
      <c r="C119" s="16"/>
      <c r="D119" s="13"/>
      <c r="E119" s="13"/>
      <c r="F119" s="17" t="str">
        <f>IF(B119="","",IFERROR(VLOOKUP(B119,'Reel Register'!$B$4:$K$203,10,FALSE),""))</f>
        <v/>
      </c>
      <c r="G119" s="17" t="str">
        <f>IF(B119="","",IFERROR(VLOOKUP(B119,'Reel Register'!$B$4:$L$203,11,FALSE),""))</f>
        <v/>
      </c>
    </row>
    <row r="120" spans="1:7" x14ac:dyDescent="0.45">
      <c r="A120" s="13"/>
      <c r="B120" s="13"/>
      <c r="C120" s="16"/>
      <c r="D120" s="13"/>
      <c r="E120" s="13"/>
      <c r="F120" s="17" t="str">
        <f>IF(B120="","",IFERROR(VLOOKUP(B120,'Reel Register'!$B$4:$K$203,10,FALSE),""))</f>
        <v/>
      </c>
      <c r="G120" s="17" t="str">
        <f>IF(B120="","",IFERROR(VLOOKUP(B120,'Reel Register'!$B$4:$L$203,11,FALSE),""))</f>
        <v/>
      </c>
    </row>
    <row r="121" spans="1:7" x14ac:dyDescent="0.45">
      <c r="A121" s="13"/>
      <c r="B121" s="13"/>
      <c r="C121" s="16"/>
      <c r="D121" s="13"/>
      <c r="E121" s="13"/>
      <c r="F121" s="17" t="str">
        <f>IF(B121="","",IFERROR(VLOOKUP(B121,'Reel Register'!$B$4:$K$203,10,FALSE),""))</f>
        <v/>
      </c>
      <c r="G121" s="17" t="str">
        <f>IF(B121="","",IFERROR(VLOOKUP(B121,'Reel Register'!$B$4:$L$203,11,FALSE),""))</f>
        <v/>
      </c>
    </row>
    <row r="122" spans="1:7" x14ac:dyDescent="0.45">
      <c r="A122" s="13"/>
      <c r="B122" s="13"/>
      <c r="C122" s="16"/>
      <c r="D122" s="13"/>
      <c r="E122" s="13"/>
      <c r="F122" s="17" t="str">
        <f>IF(B122="","",IFERROR(VLOOKUP(B122,'Reel Register'!$B$4:$K$203,10,FALSE),""))</f>
        <v/>
      </c>
      <c r="G122" s="17" t="str">
        <f>IF(B122="","",IFERROR(VLOOKUP(B122,'Reel Register'!$B$4:$L$203,11,FALSE),""))</f>
        <v/>
      </c>
    </row>
    <row r="123" spans="1:7" x14ac:dyDescent="0.45">
      <c r="A123" s="13"/>
      <c r="B123" s="13"/>
      <c r="C123" s="16"/>
      <c r="D123" s="13"/>
      <c r="E123" s="13"/>
      <c r="F123" s="17" t="str">
        <f>IF(B123="","",IFERROR(VLOOKUP(B123,'Reel Register'!$B$4:$K$203,10,FALSE),""))</f>
        <v/>
      </c>
      <c r="G123" s="17" t="str">
        <f>IF(B123="","",IFERROR(VLOOKUP(B123,'Reel Register'!$B$4:$L$203,11,FALSE),""))</f>
        <v/>
      </c>
    </row>
    <row r="124" spans="1:7" x14ac:dyDescent="0.45">
      <c r="A124" s="13"/>
      <c r="B124" s="13"/>
      <c r="C124" s="16"/>
      <c r="D124" s="13"/>
      <c r="E124" s="13"/>
      <c r="F124" s="17" t="str">
        <f>IF(B124="","",IFERROR(VLOOKUP(B124,'Reel Register'!$B$4:$K$203,10,FALSE),""))</f>
        <v/>
      </c>
      <c r="G124" s="17" t="str">
        <f>IF(B124="","",IFERROR(VLOOKUP(B124,'Reel Register'!$B$4:$L$203,11,FALSE),""))</f>
        <v/>
      </c>
    </row>
    <row r="125" spans="1:7" x14ac:dyDescent="0.45">
      <c r="A125" s="13"/>
      <c r="B125" s="13"/>
      <c r="C125" s="16"/>
      <c r="D125" s="13"/>
      <c r="E125" s="13"/>
      <c r="F125" s="17" t="str">
        <f>IF(B125="","",IFERROR(VLOOKUP(B125,'Reel Register'!$B$4:$K$203,10,FALSE),""))</f>
        <v/>
      </c>
      <c r="G125" s="17" t="str">
        <f>IF(B125="","",IFERROR(VLOOKUP(B125,'Reel Register'!$B$4:$L$203,11,FALSE),""))</f>
        <v/>
      </c>
    </row>
    <row r="126" spans="1:7" x14ac:dyDescent="0.45">
      <c r="A126" s="13"/>
      <c r="B126" s="13"/>
      <c r="C126" s="16"/>
      <c r="D126" s="13"/>
      <c r="E126" s="13"/>
      <c r="F126" s="17" t="str">
        <f>IF(B126="","",IFERROR(VLOOKUP(B126,'Reel Register'!$B$4:$K$203,10,FALSE),""))</f>
        <v/>
      </c>
      <c r="G126" s="17" t="str">
        <f>IF(B126="","",IFERROR(VLOOKUP(B126,'Reel Register'!$B$4:$L$203,11,FALSE),""))</f>
        <v/>
      </c>
    </row>
    <row r="127" spans="1:7" x14ac:dyDescent="0.45">
      <c r="A127" s="13"/>
      <c r="B127" s="13"/>
      <c r="C127" s="16"/>
      <c r="D127" s="13"/>
      <c r="E127" s="13"/>
      <c r="F127" s="17" t="str">
        <f>IF(B127="","",IFERROR(VLOOKUP(B127,'Reel Register'!$B$4:$K$203,10,FALSE),""))</f>
        <v/>
      </c>
      <c r="G127" s="17" t="str">
        <f>IF(B127="","",IFERROR(VLOOKUP(B127,'Reel Register'!$B$4:$L$203,11,FALSE),""))</f>
        <v/>
      </c>
    </row>
    <row r="128" spans="1:7" x14ac:dyDescent="0.45">
      <c r="A128" s="13"/>
      <c r="B128" s="13"/>
      <c r="C128" s="16"/>
      <c r="D128" s="13"/>
      <c r="E128" s="13"/>
      <c r="F128" s="17" t="str">
        <f>IF(B128="","",IFERROR(VLOOKUP(B128,'Reel Register'!$B$4:$K$203,10,FALSE),""))</f>
        <v/>
      </c>
      <c r="G128" s="17" t="str">
        <f>IF(B128="","",IFERROR(VLOOKUP(B128,'Reel Register'!$B$4:$L$203,11,FALSE),""))</f>
        <v/>
      </c>
    </row>
    <row r="129" spans="1:7" x14ac:dyDescent="0.45">
      <c r="A129" s="13"/>
      <c r="B129" s="13"/>
      <c r="C129" s="16"/>
      <c r="D129" s="13"/>
      <c r="E129" s="13"/>
      <c r="F129" s="17" t="str">
        <f>IF(B129="","",IFERROR(VLOOKUP(B129,'Reel Register'!$B$4:$K$203,10,FALSE),""))</f>
        <v/>
      </c>
      <c r="G129" s="17" t="str">
        <f>IF(B129="","",IFERROR(VLOOKUP(B129,'Reel Register'!$B$4:$L$203,11,FALSE),""))</f>
        <v/>
      </c>
    </row>
    <row r="130" spans="1:7" x14ac:dyDescent="0.45">
      <c r="A130" s="13"/>
      <c r="B130" s="13"/>
      <c r="C130" s="16"/>
      <c r="D130" s="13"/>
      <c r="E130" s="13"/>
      <c r="F130" s="17" t="str">
        <f>IF(B130="","",IFERROR(VLOOKUP(B130,'Reel Register'!$B$4:$K$203,10,FALSE),""))</f>
        <v/>
      </c>
      <c r="G130" s="17" t="str">
        <f>IF(B130="","",IFERROR(VLOOKUP(B130,'Reel Register'!$B$4:$L$203,11,FALSE),""))</f>
        <v/>
      </c>
    </row>
    <row r="131" spans="1:7" x14ac:dyDescent="0.45">
      <c r="A131" s="13"/>
      <c r="B131" s="13"/>
      <c r="C131" s="16"/>
      <c r="D131" s="13"/>
      <c r="E131" s="13"/>
      <c r="F131" s="17" t="str">
        <f>IF(B131="","",IFERROR(VLOOKUP(B131,'Reel Register'!$B$4:$K$203,10,FALSE),""))</f>
        <v/>
      </c>
      <c r="G131" s="17" t="str">
        <f>IF(B131="","",IFERROR(VLOOKUP(B131,'Reel Register'!$B$4:$L$203,11,FALSE),""))</f>
        <v/>
      </c>
    </row>
    <row r="132" spans="1:7" x14ac:dyDescent="0.45">
      <c r="A132" s="13"/>
      <c r="B132" s="13"/>
      <c r="C132" s="16"/>
      <c r="D132" s="13"/>
      <c r="E132" s="13"/>
      <c r="F132" s="17" t="str">
        <f>IF(B132="","",IFERROR(VLOOKUP(B132,'Reel Register'!$B$4:$K$203,10,FALSE),""))</f>
        <v/>
      </c>
      <c r="G132" s="17" t="str">
        <f>IF(B132="","",IFERROR(VLOOKUP(B132,'Reel Register'!$B$4:$L$203,11,FALSE),""))</f>
        <v/>
      </c>
    </row>
    <row r="133" spans="1:7" x14ac:dyDescent="0.45">
      <c r="A133" s="13"/>
      <c r="B133" s="13"/>
      <c r="C133" s="16"/>
      <c r="D133" s="13"/>
      <c r="E133" s="13"/>
      <c r="F133" s="17" t="str">
        <f>IF(B133="","",IFERROR(VLOOKUP(B133,'Reel Register'!$B$4:$K$203,10,FALSE),""))</f>
        <v/>
      </c>
      <c r="G133" s="17" t="str">
        <f>IF(B133="","",IFERROR(VLOOKUP(B133,'Reel Register'!$B$4:$L$203,11,FALSE),""))</f>
        <v/>
      </c>
    </row>
    <row r="134" spans="1:7" x14ac:dyDescent="0.45">
      <c r="A134" s="13"/>
      <c r="B134" s="13"/>
      <c r="C134" s="16"/>
      <c r="D134" s="13"/>
      <c r="E134" s="13"/>
      <c r="F134" s="17" t="str">
        <f>IF(B134="","",IFERROR(VLOOKUP(B134,'Reel Register'!$B$4:$K$203,10,FALSE),""))</f>
        <v/>
      </c>
      <c r="G134" s="17" t="str">
        <f>IF(B134="","",IFERROR(VLOOKUP(B134,'Reel Register'!$B$4:$L$203,11,FALSE),""))</f>
        <v/>
      </c>
    </row>
    <row r="135" spans="1:7" x14ac:dyDescent="0.45">
      <c r="A135" s="13"/>
      <c r="B135" s="13"/>
      <c r="C135" s="16"/>
      <c r="D135" s="13"/>
      <c r="E135" s="13"/>
      <c r="F135" s="17" t="str">
        <f>IF(B135="","",IFERROR(VLOOKUP(B135,'Reel Register'!$B$4:$K$203,10,FALSE),""))</f>
        <v/>
      </c>
      <c r="G135" s="17" t="str">
        <f>IF(B135="","",IFERROR(VLOOKUP(B135,'Reel Register'!$B$4:$L$203,11,FALSE),""))</f>
        <v/>
      </c>
    </row>
    <row r="136" spans="1:7" x14ac:dyDescent="0.45">
      <c r="A136" s="13"/>
      <c r="B136" s="13"/>
      <c r="C136" s="16"/>
      <c r="D136" s="13"/>
      <c r="E136" s="13"/>
      <c r="F136" s="17" t="str">
        <f>IF(B136="","",IFERROR(VLOOKUP(B136,'Reel Register'!$B$4:$K$203,10,FALSE),""))</f>
        <v/>
      </c>
      <c r="G136" s="17" t="str">
        <f>IF(B136="","",IFERROR(VLOOKUP(B136,'Reel Register'!$B$4:$L$203,11,FALSE),""))</f>
        <v/>
      </c>
    </row>
    <row r="137" spans="1:7" x14ac:dyDescent="0.45">
      <c r="A137" s="13"/>
      <c r="B137" s="13"/>
      <c r="C137" s="16"/>
      <c r="D137" s="13"/>
      <c r="E137" s="13"/>
      <c r="F137" s="17" t="str">
        <f>IF(B137="","",IFERROR(VLOOKUP(B137,'Reel Register'!$B$4:$K$203,10,FALSE),""))</f>
        <v/>
      </c>
      <c r="G137" s="17" t="str">
        <f>IF(B137="","",IFERROR(VLOOKUP(B137,'Reel Register'!$B$4:$L$203,11,FALSE),""))</f>
        <v/>
      </c>
    </row>
    <row r="138" spans="1:7" x14ac:dyDescent="0.45">
      <c r="A138" s="13"/>
      <c r="B138" s="13"/>
      <c r="C138" s="16"/>
      <c r="D138" s="13"/>
      <c r="E138" s="13"/>
      <c r="F138" s="17" t="str">
        <f>IF(B138="","",IFERROR(VLOOKUP(B138,'Reel Register'!$B$4:$K$203,10,FALSE),""))</f>
        <v/>
      </c>
      <c r="G138" s="17" t="str">
        <f>IF(B138="","",IFERROR(VLOOKUP(B138,'Reel Register'!$B$4:$L$203,11,FALSE),""))</f>
        <v/>
      </c>
    </row>
    <row r="139" spans="1:7" x14ac:dyDescent="0.45">
      <c r="A139" s="13"/>
      <c r="B139" s="13"/>
      <c r="C139" s="16"/>
      <c r="D139" s="13"/>
      <c r="E139" s="13"/>
      <c r="F139" s="17" t="str">
        <f>IF(B139="","",IFERROR(VLOOKUP(B139,'Reel Register'!$B$4:$K$203,10,FALSE),""))</f>
        <v/>
      </c>
      <c r="G139" s="17" t="str">
        <f>IF(B139="","",IFERROR(VLOOKUP(B139,'Reel Register'!$B$4:$L$203,11,FALSE),""))</f>
        <v/>
      </c>
    </row>
    <row r="140" spans="1:7" x14ac:dyDescent="0.45">
      <c r="A140" s="13"/>
      <c r="B140" s="13"/>
      <c r="C140" s="16"/>
      <c r="D140" s="13"/>
      <c r="E140" s="13"/>
      <c r="F140" s="17" t="str">
        <f>IF(B140="","",IFERROR(VLOOKUP(B140,'Reel Register'!$B$4:$K$203,10,FALSE),""))</f>
        <v/>
      </c>
      <c r="G140" s="17" t="str">
        <f>IF(B140="","",IFERROR(VLOOKUP(B140,'Reel Register'!$B$4:$L$203,11,FALSE),""))</f>
        <v/>
      </c>
    </row>
    <row r="141" spans="1:7" x14ac:dyDescent="0.45">
      <c r="A141" s="13"/>
      <c r="B141" s="13"/>
      <c r="C141" s="16"/>
      <c r="D141" s="13"/>
      <c r="E141" s="13"/>
      <c r="F141" s="17" t="str">
        <f>IF(B141="","",IFERROR(VLOOKUP(B141,'Reel Register'!$B$4:$K$203,10,FALSE),""))</f>
        <v/>
      </c>
      <c r="G141" s="17" t="str">
        <f>IF(B141="","",IFERROR(VLOOKUP(B141,'Reel Register'!$B$4:$L$203,11,FALSE),""))</f>
        <v/>
      </c>
    </row>
    <row r="142" spans="1:7" x14ac:dyDescent="0.45">
      <c r="A142" s="13"/>
      <c r="B142" s="13"/>
      <c r="C142" s="16"/>
      <c r="D142" s="13"/>
      <c r="E142" s="13"/>
      <c r="F142" s="17" t="str">
        <f>IF(B142="","",IFERROR(VLOOKUP(B142,'Reel Register'!$B$4:$K$203,10,FALSE),""))</f>
        <v/>
      </c>
      <c r="G142" s="17" t="str">
        <f>IF(B142="","",IFERROR(VLOOKUP(B142,'Reel Register'!$B$4:$L$203,11,FALSE),""))</f>
        <v/>
      </c>
    </row>
    <row r="143" spans="1:7" x14ac:dyDescent="0.45">
      <c r="A143" s="13"/>
      <c r="B143" s="13"/>
      <c r="C143" s="16"/>
      <c r="D143" s="13"/>
      <c r="E143" s="13"/>
      <c r="F143" s="17" t="str">
        <f>IF(B143="","",IFERROR(VLOOKUP(B143,'Reel Register'!$B$4:$K$203,10,FALSE),""))</f>
        <v/>
      </c>
      <c r="G143" s="17" t="str">
        <f>IF(B143="","",IFERROR(VLOOKUP(B143,'Reel Register'!$B$4:$L$203,11,FALSE),""))</f>
        <v/>
      </c>
    </row>
    <row r="144" spans="1:7" x14ac:dyDescent="0.45">
      <c r="A144" s="13"/>
      <c r="B144" s="13"/>
      <c r="C144" s="16"/>
      <c r="D144" s="13"/>
      <c r="E144" s="13"/>
      <c r="F144" s="17" t="str">
        <f>IF(B144="","",IFERROR(VLOOKUP(B144,'Reel Register'!$B$4:$K$203,10,FALSE),""))</f>
        <v/>
      </c>
      <c r="G144" s="17" t="str">
        <f>IF(B144="","",IFERROR(VLOOKUP(B144,'Reel Register'!$B$4:$L$203,11,FALSE),""))</f>
        <v/>
      </c>
    </row>
    <row r="145" spans="1:7" x14ac:dyDescent="0.45">
      <c r="A145" s="13"/>
      <c r="B145" s="13"/>
      <c r="C145" s="16"/>
      <c r="D145" s="13"/>
      <c r="E145" s="13"/>
      <c r="F145" s="17" t="str">
        <f>IF(B145="","",IFERROR(VLOOKUP(B145,'Reel Register'!$B$4:$K$203,10,FALSE),""))</f>
        <v/>
      </c>
      <c r="G145" s="17" t="str">
        <f>IF(B145="","",IFERROR(VLOOKUP(B145,'Reel Register'!$B$4:$L$203,11,FALSE),""))</f>
        <v/>
      </c>
    </row>
    <row r="146" spans="1:7" x14ac:dyDescent="0.45">
      <c r="A146" s="13"/>
      <c r="B146" s="13"/>
      <c r="C146" s="16"/>
      <c r="D146" s="13"/>
      <c r="E146" s="13"/>
      <c r="F146" s="17" t="str">
        <f>IF(B146="","",IFERROR(VLOOKUP(B146,'Reel Register'!$B$4:$K$203,10,FALSE),""))</f>
        <v/>
      </c>
      <c r="G146" s="17" t="str">
        <f>IF(B146="","",IFERROR(VLOOKUP(B146,'Reel Register'!$B$4:$L$203,11,FALSE),""))</f>
        <v/>
      </c>
    </row>
    <row r="147" spans="1:7" x14ac:dyDescent="0.45">
      <c r="A147" s="13"/>
      <c r="B147" s="13"/>
      <c r="C147" s="16"/>
      <c r="D147" s="13"/>
      <c r="E147" s="13"/>
      <c r="F147" s="17" t="str">
        <f>IF(B147="","",IFERROR(VLOOKUP(B147,'Reel Register'!$B$4:$K$203,10,FALSE),""))</f>
        <v/>
      </c>
      <c r="G147" s="17" t="str">
        <f>IF(B147="","",IFERROR(VLOOKUP(B147,'Reel Register'!$B$4:$L$203,11,FALSE),""))</f>
        <v/>
      </c>
    </row>
    <row r="148" spans="1:7" x14ac:dyDescent="0.45">
      <c r="A148" s="13"/>
      <c r="B148" s="13"/>
      <c r="C148" s="16"/>
      <c r="D148" s="13"/>
      <c r="E148" s="13"/>
      <c r="F148" s="17" t="str">
        <f>IF(B148="","",IFERROR(VLOOKUP(B148,'Reel Register'!$B$4:$K$203,10,FALSE),""))</f>
        <v/>
      </c>
      <c r="G148" s="17" t="str">
        <f>IF(B148="","",IFERROR(VLOOKUP(B148,'Reel Register'!$B$4:$L$203,11,FALSE),""))</f>
        <v/>
      </c>
    </row>
    <row r="149" spans="1:7" x14ac:dyDescent="0.45">
      <c r="A149" s="13"/>
      <c r="B149" s="13"/>
      <c r="C149" s="16"/>
      <c r="D149" s="13"/>
      <c r="E149" s="13"/>
      <c r="F149" s="17" t="str">
        <f>IF(B149="","",IFERROR(VLOOKUP(B149,'Reel Register'!$B$4:$K$203,10,FALSE),""))</f>
        <v/>
      </c>
      <c r="G149" s="17" t="str">
        <f>IF(B149="","",IFERROR(VLOOKUP(B149,'Reel Register'!$B$4:$L$203,11,FALSE),""))</f>
        <v/>
      </c>
    </row>
    <row r="150" spans="1:7" x14ac:dyDescent="0.45">
      <c r="A150" s="13"/>
      <c r="B150" s="13"/>
      <c r="C150" s="16"/>
      <c r="D150" s="13"/>
      <c r="E150" s="13"/>
      <c r="F150" s="17" t="str">
        <f>IF(B150="","",IFERROR(VLOOKUP(B150,'Reel Register'!$B$4:$K$203,10,FALSE),""))</f>
        <v/>
      </c>
      <c r="G150" s="17" t="str">
        <f>IF(B150="","",IFERROR(VLOOKUP(B150,'Reel Register'!$B$4:$L$203,11,FALSE),""))</f>
        <v/>
      </c>
    </row>
    <row r="151" spans="1:7" x14ac:dyDescent="0.45">
      <c r="A151" s="13"/>
      <c r="B151" s="13"/>
      <c r="C151" s="16"/>
      <c r="D151" s="13"/>
      <c r="E151" s="13"/>
      <c r="F151" s="17" t="str">
        <f>IF(B151="","",IFERROR(VLOOKUP(B151,'Reel Register'!$B$4:$K$203,10,FALSE),""))</f>
        <v/>
      </c>
      <c r="G151" s="17" t="str">
        <f>IF(B151="","",IFERROR(VLOOKUP(B151,'Reel Register'!$B$4:$L$203,11,FALSE),""))</f>
        <v/>
      </c>
    </row>
    <row r="152" spans="1:7" x14ac:dyDescent="0.45">
      <c r="A152" s="13"/>
      <c r="B152" s="13"/>
      <c r="C152" s="16"/>
      <c r="D152" s="13"/>
      <c r="E152" s="13"/>
      <c r="F152" s="17" t="str">
        <f>IF(B152="","",IFERROR(VLOOKUP(B152,'Reel Register'!$B$4:$K$203,10,FALSE),""))</f>
        <v/>
      </c>
      <c r="G152" s="17" t="str">
        <f>IF(B152="","",IFERROR(VLOOKUP(B152,'Reel Register'!$B$4:$L$203,11,FALSE),""))</f>
        <v/>
      </c>
    </row>
    <row r="153" spans="1:7" x14ac:dyDescent="0.45">
      <c r="A153" s="13"/>
      <c r="B153" s="13"/>
      <c r="C153" s="16"/>
      <c r="D153" s="13"/>
      <c r="E153" s="13"/>
      <c r="F153" s="17" t="str">
        <f>IF(B153="","",IFERROR(VLOOKUP(B153,'Reel Register'!$B$4:$K$203,10,FALSE),""))</f>
        <v/>
      </c>
      <c r="G153" s="17" t="str">
        <f>IF(B153="","",IFERROR(VLOOKUP(B153,'Reel Register'!$B$4:$L$203,11,FALSE),""))</f>
        <v/>
      </c>
    </row>
    <row r="154" spans="1:7" x14ac:dyDescent="0.45">
      <c r="A154" s="13"/>
      <c r="B154" s="13"/>
      <c r="C154" s="16"/>
      <c r="D154" s="13"/>
      <c r="E154" s="13"/>
      <c r="F154" s="17" t="str">
        <f>IF(B154="","",IFERROR(VLOOKUP(B154,'Reel Register'!$B$4:$K$203,10,FALSE),""))</f>
        <v/>
      </c>
      <c r="G154" s="17" t="str">
        <f>IF(B154="","",IFERROR(VLOOKUP(B154,'Reel Register'!$B$4:$L$203,11,FALSE),""))</f>
        <v/>
      </c>
    </row>
    <row r="155" spans="1:7" x14ac:dyDescent="0.45">
      <c r="A155" s="13"/>
      <c r="B155" s="13"/>
      <c r="C155" s="16"/>
      <c r="D155" s="13"/>
      <c r="E155" s="13"/>
      <c r="F155" s="17" t="str">
        <f>IF(B155="","",IFERROR(VLOOKUP(B155,'Reel Register'!$B$4:$K$203,10,FALSE),""))</f>
        <v/>
      </c>
      <c r="G155" s="17" t="str">
        <f>IF(B155="","",IFERROR(VLOOKUP(B155,'Reel Register'!$B$4:$L$203,11,FALSE),""))</f>
        <v/>
      </c>
    </row>
    <row r="156" spans="1:7" x14ac:dyDescent="0.45">
      <c r="A156" s="13"/>
      <c r="B156" s="13"/>
      <c r="C156" s="16"/>
      <c r="D156" s="13"/>
      <c r="E156" s="13"/>
      <c r="F156" s="17" t="str">
        <f>IF(B156="","",IFERROR(VLOOKUP(B156,'Reel Register'!$B$4:$K$203,10,FALSE),""))</f>
        <v/>
      </c>
      <c r="G156" s="17" t="str">
        <f>IF(B156="","",IFERROR(VLOOKUP(B156,'Reel Register'!$B$4:$L$203,11,FALSE),""))</f>
        <v/>
      </c>
    </row>
    <row r="157" spans="1:7" x14ac:dyDescent="0.45">
      <c r="A157" s="13"/>
      <c r="B157" s="13"/>
      <c r="C157" s="16"/>
      <c r="D157" s="13"/>
      <c r="E157" s="13"/>
      <c r="F157" s="17" t="str">
        <f>IF(B157="","",IFERROR(VLOOKUP(B157,'Reel Register'!$B$4:$K$203,10,FALSE),""))</f>
        <v/>
      </c>
      <c r="G157" s="17" t="str">
        <f>IF(B157="","",IFERROR(VLOOKUP(B157,'Reel Register'!$B$4:$L$203,11,FALSE),""))</f>
        <v/>
      </c>
    </row>
    <row r="158" spans="1:7" x14ac:dyDescent="0.45">
      <c r="A158" s="13"/>
      <c r="B158" s="13"/>
      <c r="C158" s="16"/>
      <c r="D158" s="13"/>
      <c r="E158" s="13"/>
      <c r="F158" s="17" t="str">
        <f>IF(B158="","",IFERROR(VLOOKUP(B158,'Reel Register'!$B$4:$K$203,10,FALSE),""))</f>
        <v/>
      </c>
      <c r="G158" s="17" t="str">
        <f>IF(B158="","",IFERROR(VLOOKUP(B158,'Reel Register'!$B$4:$L$203,11,FALSE),""))</f>
        <v/>
      </c>
    </row>
    <row r="159" spans="1:7" x14ac:dyDescent="0.45">
      <c r="A159" s="13"/>
      <c r="B159" s="13"/>
      <c r="C159" s="16"/>
      <c r="D159" s="13"/>
      <c r="E159" s="13"/>
      <c r="F159" s="17" t="str">
        <f>IF(B159="","",IFERROR(VLOOKUP(B159,'Reel Register'!$B$4:$K$203,10,FALSE),""))</f>
        <v/>
      </c>
      <c r="G159" s="17" t="str">
        <f>IF(B159="","",IFERROR(VLOOKUP(B159,'Reel Register'!$B$4:$L$203,11,FALSE),""))</f>
        <v/>
      </c>
    </row>
    <row r="160" spans="1:7" x14ac:dyDescent="0.45">
      <c r="A160" s="13"/>
      <c r="B160" s="13"/>
      <c r="C160" s="16"/>
      <c r="D160" s="13"/>
      <c r="E160" s="13"/>
      <c r="F160" s="17" t="str">
        <f>IF(B160="","",IFERROR(VLOOKUP(B160,'Reel Register'!$B$4:$K$203,10,FALSE),""))</f>
        <v/>
      </c>
      <c r="G160" s="17" t="str">
        <f>IF(B160="","",IFERROR(VLOOKUP(B160,'Reel Register'!$B$4:$L$203,11,FALSE),""))</f>
        <v/>
      </c>
    </row>
    <row r="161" spans="1:7" x14ac:dyDescent="0.45">
      <c r="A161" s="13"/>
      <c r="B161" s="13"/>
      <c r="C161" s="16"/>
      <c r="D161" s="13"/>
      <c r="E161" s="13"/>
      <c r="F161" s="17" t="str">
        <f>IF(B161="","",IFERROR(VLOOKUP(B161,'Reel Register'!$B$4:$K$203,10,FALSE),""))</f>
        <v/>
      </c>
      <c r="G161" s="17" t="str">
        <f>IF(B161="","",IFERROR(VLOOKUP(B161,'Reel Register'!$B$4:$L$203,11,FALSE),""))</f>
        <v/>
      </c>
    </row>
    <row r="162" spans="1:7" x14ac:dyDescent="0.45">
      <c r="A162" s="13"/>
      <c r="B162" s="13"/>
      <c r="C162" s="16"/>
      <c r="D162" s="13"/>
      <c r="E162" s="13"/>
      <c r="F162" s="17" t="str">
        <f>IF(B162="","",IFERROR(VLOOKUP(B162,'Reel Register'!$B$4:$K$203,10,FALSE),""))</f>
        <v/>
      </c>
      <c r="G162" s="17" t="str">
        <f>IF(B162="","",IFERROR(VLOOKUP(B162,'Reel Register'!$B$4:$L$203,11,FALSE),""))</f>
        <v/>
      </c>
    </row>
    <row r="163" spans="1:7" x14ac:dyDescent="0.45">
      <c r="A163" s="13"/>
      <c r="B163" s="13"/>
      <c r="C163" s="16"/>
      <c r="D163" s="13"/>
      <c r="E163" s="13"/>
      <c r="F163" s="17" t="str">
        <f>IF(B163="","",IFERROR(VLOOKUP(B163,'Reel Register'!$B$4:$K$203,10,FALSE),""))</f>
        <v/>
      </c>
      <c r="G163" s="17" t="str">
        <f>IF(B163="","",IFERROR(VLOOKUP(B163,'Reel Register'!$B$4:$L$203,11,FALSE),""))</f>
        <v/>
      </c>
    </row>
    <row r="164" spans="1:7" x14ac:dyDescent="0.45">
      <c r="A164" s="13"/>
      <c r="B164" s="13"/>
      <c r="C164" s="16"/>
      <c r="D164" s="13"/>
      <c r="E164" s="13"/>
      <c r="F164" s="17" t="str">
        <f>IF(B164="","",IFERROR(VLOOKUP(B164,'Reel Register'!$B$4:$K$203,10,FALSE),""))</f>
        <v/>
      </c>
      <c r="G164" s="17" t="str">
        <f>IF(B164="","",IFERROR(VLOOKUP(B164,'Reel Register'!$B$4:$L$203,11,FALSE),""))</f>
        <v/>
      </c>
    </row>
    <row r="165" spans="1:7" x14ac:dyDescent="0.45">
      <c r="A165" s="13"/>
      <c r="B165" s="13"/>
      <c r="C165" s="16"/>
      <c r="D165" s="13"/>
      <c r="E165" s="13"/>
      <c r="F165" s="17" t="str">
        <f>IF(B165="","",IFERROR(VLOOKUP(B165,'Reel Register'!$B$4:$K$203,10,FALSE),""))</f>
        <v/>
      </c>
      <c r="G165" s="17" t="str">
        <f>IF(B165="","",IFERROR(VLOOKUP(B165,'Reel Register'!$B$4:$L$203,11,FALSE),""))</f>
        <v/>
      </c>
    </row>
    <row r="166" spans="1:7" x14ac:dyDescent="0.45">
      <c r="A166" s="13"/>
      <c r="B166" s="13"/>
      <c r="C166" s="16"/>
      <c r="D166" s="13"/>
      <c r="E166" s="13"/>
      <c r="F166" s="17" t="str">
        <f>IF(B166="","",IFERROR(VLOOKUP(B166,'Reel Register'!$B$4:$K$203,10,FALSE),""))</f>
        <v/>
      </c>
      <c r="G166" s="17" t="str">
        <f>IF(B166="","",IFERROR(VLOOKUP(B166,'Reel Register'!$B$4:$L$203,11,FALSE),""))</f>
        <v/>
      </c>
    </row>
    <row r="167" spans="1:7" x14ac:dyDescent="0.45">
      <c r="A167" s="13"/>
      <c r="B167" s="13"/>
      <c r="C167" s="16"/>
      <c r="D167" s="13"/>
      <c r="E167" s="13"/>
      <c r="F167" s="17" t="str">
        <f>IF(B167="","",IFERROR(VLOOKUP(B167,'Reel Register'!$B$4:$K$203,10,FALSE),""))</f>
        <v/>
      </c>
      <c r="G167" s="17" t="str">
        <f>IF(B167="","",IFERROR(VLOOKUP(B167,'Reel Register'!$B$4:$L$203,11,FALSE),""))</f>
        <v/>
      </c>
    </row>
    <row r="168" spans="1:7" x14ac:dyDescent="0.45">
      <c r="A168" s="13"/>
      <c r="B168" s="13"/>
      <c r="C168" s="16"/>
      <c r="D168" s="13"/>
      <c r="E168" s="13"/>
      <c r="F168" s="17" t="str">
        <f>IF(B168="","",IFERROR(VLOOKUP(B168,'Reel Register'!$B$4:$K$203,10,FALSE),""))</f>
        <v/>
      </c>
      <c r="G168" s="17" t="str">
        <f>IF(B168="","",IFERROR(VLOOKUP(B168,'Reel Register'!$B$4:$L$203,11,FALSE),""))</f>
        <v/>
      </c>
    </row>
    <row r="169" spans="1:7" x14ac:dyDescent="0.45">
      <c r="A169" s="13"/>
      <c r="B169" s="13"/>
      <c r="C169" s="16"/>
      <c r="D169" s="13"/>
      <c r="E169" s="13"/>
      <c r="F169" s="17" t="str">
        <f>IF(B169="","",IFERROR(VLOOKUP(B169,'Reel Register'!$B$4:$K$203,10,FALSE),""))</f>
        <v/>
      </c>
      <c r="G169" s="17" t="str">
        <f>IF(B169="","",IFERROR(VLOOKUP(B169,'Reel Register'!$B$4:$L$203,11,FALSE),""))</f>
        <v/>
      </c>
    </row>
    <row r="170" spans="1:7" x14ac:dyDescent="0.45">
      <c r="A170" s="13"/>
      <c r="B170" s="13"/>
      <c r="C170" s="16"/>
      <c r="D170" s="13"/>
      <c r="E170" s="13"/>
      <c r="F170" s="17" t="str">
        <f>IF(B170="","",IFERROR(VLOOKUP(B170,'Reel Register'!$B$4:$K$203,10,FALSE),""))</f>
        <v/>
      </c>
      <c r="G170" s="17" t="str">
        <f>IF(B170="","",IFERROR(VLOOKUP(B170,'Reel Register'!$B$4:$L$203,11,FALSE),""))</f>
        <v/>
      </c>
    </row>
    <row r="171" spans="1:7" x14ac:dyDescent="0.45">
      <c r="A171" s="13"/>
      <c r="B171" s="13"/>
      <c r="C171" s="16"/>
      <c r="D171" s="13"/>
      <c r="E171" s="13"/>
      <c r="F171" s="17" t="str">
        <f>IF(B171="","",IFERROR(VLOOKUP(B171,'Reel Register'!$B$4:$K$203,10,FALSE),""))</f>
        <v/>
      </c>
      <c r="G171" s="17" t="str">
        <f>IF(B171="","",IFERROR(VLOOKUP(B171,'Reel Register'!$B$4:$L$203,11,FALSE),""))</f>
        <v/>
      </c>
    </row>
    <row r="172" spans="1:7" x14ac:dyDescent="0.45">
      <c r="A172" s="13"/>
      <c r="B172" s="13"/>
      <c r="C172" s="16"/>
      <c r="D172" s="13"/>
      <c r="E172" s="13"/>
      <c r="F172" s="17" t="str">
        <f>IF(B172="","",IFERROR(VLOOKUP(B172,'Reel Register'!$B$4:$K$203,10,FALSE),""))</f>
        <v/>
      </c>
      <c r="G172" s="17" t="str">
        <f>IF(B172="","",IFERROR(VLOOKUP(B172,'Reel Register'!$B$4:$L$203,11,FALSE),""))</f>
        <v/>
      </c>
    </row>
    <row r="173" spans="1:7" x14ac:dyDescent="0.45">
      <c r="A173" s="13"/>
      <c r="B173" s="13"/>
      <c r="C173" s="16"/>
      <c r="D173" s="13"/>
      <c r="E173" s="13"/>
      <c r="F173" s="17" t="str">
        <f>IF(B173="","",IFERROR(VLOOKUP(B173,'Reel Register'!$B$4:$K$203,10,FALSE),""))</f>
        <v/>
      </c>
      <c r="G173" s="17" t="str">
        <f>IF(B173="","",IFERROR(VLOOKUP(B173,'Reel Register'!$B$4:$L$203,11,FALSE),""))</f>
        <v/>
      </c>
    </row>
    <row r="174" spans="1:7" x14ac:dyDescent="0.45">
      <c r="A174" s="13"/>
      <c r="B174" s="13"/>
      <c r="C174" s="16"/>
      <c r="D174" s="13"/>
      <c r="E174" s="13"/>
      <c r="F174" s="17" t="str">
        <f>IF(B174="","",IFERROR(VLOOKUP(B174,'Reel Register'!$B$4:$K$203,10,FALSE),""))</f>
        <v/>
      </c>
      <c r="G174" s="17" t="str">
        <f>IF(B174="","",IFERROR(VLOOKUP(B174,'Reel Register'!$B$4:$L$203,11,FALSE),""))</f>
        <v/>
      </c>
    </row>
    <row r="175" spans="1:7" x14ac:dyDescent="0.45">
      <c r="A175" s="13"/>
      <c r="B175" s="13"/>
      <c r="C175" s="16"/>
      <c r="D175" s="13"/>
      <c r="E175" s="13"/>
      <c r="F175" s="17" t="str">
        <f>IF(B175="","",IFERROR(VLOOKUP(B175,'Reel Register'!$B$4:$K$203,10,FALSE),""))</f>
        <v/>
      </c>
      <c r="G175" s="17" t="str">
        <f>IF(B175="","",IFERROR(VLOOKUP(B175,'Reel Register'!$B$4:$L$203,11,FALSE),""))</f>
        <v/>
      </c>
    </row>
    <row r="176" spans="1:7" x14ac:dyDescent="0.45">
      <c r="A176" s="13"/>
      <c r="B176" s="13"/>
      <c r="C176" s="16"/>
      <c r="D176" s="13"/>
      <c r="E176" s="13"/>
      <c r="F176" s="17" t="str">
        <f>IF(B176="","",IFERROR(VLOOKUP(B176,'Reel Register'!$B$4:$K$203,10,FALSE),""))</f>
        <v/>
      </c>
      <c r="G176" s="17" t="str">
        <f>IF(B176="","",IFERROR(VLOOKUP(B176,'Reel Register'!$B$4:$L$203,11,FALSE),""))</f>
        <v/>
      </c>
    </row>
    <row r="177" spans="1:7" x14ac:dyDescent="0.45">
      <c r="A177" s="13"/>
      <c r="B177" s="13"/>
      <c r="C177" s="16"/>
      <c r="D177" s="13"/>
      <c r="E177" s="13"/>
      <c r="F177" s="17" t="str">
        <f>IF(B177="","",IFERROR(VLOOKUP(B177,'Reel Register'!$B$4:$K$203,10,FALSE),""))</f>
        <v/>
      </c>
      <c r="G177" s="17" t="str">
        <f>IF(B177="","",IFERROR(VLOOKUP(B177,'Reel Register'!$B$4:$L$203,11,FALSE),""))</f>
        <v/>
      </c>
    </row>
    <row r="178" spans="1:7" x14ac:dyDescent="0.45">
      <c r="A178" s="13"/>
      <c r="B178" s="13"/>
      <c r="C178" s="16"/>
      <c r="D178" s="13"/>
      <c r="E178" s="13"/>
      <c r="F178" s="17" t="str">
        <f>IF(B178="","",IFERROR(VLOOKUP(B178,'Reel Register'!$B$4:$K$203,10,FALSE),""))</f>
        <v/>
      </c>
      <c r="G178" s="17" t="str">
        <f>IF(B178="","",IFERROR(VLOOKUP(B178,'Reel Register'!$B$4:$L$203,11,FALSE),""))</f>
        <v/>
      </c>
    </row>
    <row r="179" spans="1:7" x14ac:dyDescent="0.45">
      <c r="A179" s="13"/>
      <c r="B179" s="13"/>
      <c r="C179" s="16"/>
      <c r="D179" s="13"/>
      <c r="E179" s="13"/>
      <c r="F179" s="17" t="str">
        <f>IF(B179="","",IFERROR(VLOOKUP(B179,'Reel Register'!$B$4:$K$203,10,FALSE),""))</f>
        <v/>
      </c>
      <c r="G179" s="17" t="str">
        <f>IF(B179="","",IFERROR(VLOOKUP(B179,'Reel Register'!$B$4:$L$203,11,FALSE),""))</f>
        <v/>
      </c>
    </row>
    <row r="180" spans="1:7" x14ac:dyDescent="0.45">
      <c r="A180" s="13"/>
      <c r="B180" s="13"/>
      <c r="C180" s="16"/>
      <c r="D180" s="13"/>
      <c r="E180" s="13"/>
      <c r="F180" s="17" t="str">
        <f>IF(B180="","",IFERROR(VLOOKUP(B180,'Reel Register'!$B$4:$K$203,10,FALSE),""))</f>
        <v/>
      </c>
      <c r="G180" s="17" t="str">
        <f>IF(B180="","",IFERROR(VLOOKUP(B180,'Reel Register'!$B$4:$L$203,11,FALSE),""))</f>
        <v/>
      </c>
    </row>
    <row r="181" spans="1:7" x14ac:dyDescent="0.45">
      <c r="A181" s="13"/>
      <c r="B181" s="13"/>
      <c r="C181" s="16"/>
      <c r="D181" s="13"/>
      <c r="E181" s="13"/>
      <c r="F181" s="17" t="str">
        <f>IF(B181="","",IFERROR(VLOOKUP(B181,'Reel Register'!$B$4:$K$203,10,FALSE),""))</f>
        <v/>
      </c>
      <c r="G181" s="17" t="str">
        <f>IF(B181="","",IFERROR(VLOOKUP(B181,'Reel Register'!$B$4:$L$203,11,FALSE),""))</f>
        <v/>
      </c>
    </row>
    <row r="182" spans="1:7" x14ac:dyDescent="0.45">
      <c r="A182" s="13"/>
      <c r="B182" s="13"/>
      <c r="C182" s="16"/>
      <c r="D182" s="13"/>
      <c r="E182" s="13"/>
      <c r="F182" s="17" t="str">
        <f>IF(B182="","",IFERROR(VLOOKUP(B182,'Reel Register'!$B$4:$K$203,10,FALSE),""))</f>
        <v/>
      </c>
      <c r="G182" s="17" t="str">
        <f>IF(B182="","",IFERROR(VLOOKUP(B182,'Reel Register'!$B$4:$L$203,11,FALSE),""))</f>
        <v/>
      </c>
    </row>
    <row r="183" spans="1:7" x14ac:dyDescent="0.45">
      <c r="A183" s="13"/>
      <c r="B183" s="13"/>
      <c r="C183" s="16"/>
      <c r="D183" s="13"/>
      <c r="E183" s="13"/>
      <c r="F183" s="17" t="str">
        <f>IF(B183="","",IFERROR(VLOOKUP(B183,'Reel Register'!$B$4:$K$203,10,FALSE),""))</f>
        <v/>
      </c>
      <c r="G183" s="17" t="str">
        <f>IF(B183="","",IFERROR(VLOOKUP(B183,'Reel Register'!$B$4:$L$203,11,FALSE),""))</f>
        <v/>
      </c>
    </row>
    <row r="184" spans="1:7" x14ac:dyDescent="0.45">
      <c r="A184" s="13"/>
      <c r="B184" s="13"/>
      <c r="C184" s="16"/>
      <c r="D184" s="13"/>
      <c r="E184" s="13"/>
      <c r="F184" s="17" t="str">
        <f>IF(B184="","",IFERROR(VLOOKUP(B184,'Reel Register'!$B$4:$K$203,10,FALSE),""))</f>
        <v/>
      </c>
      <c r="G184" s="17" t="str">
        <f>IF(B184="","",IFERROR(VLOOKUP(B184,'Reel Register'!$B$4:$L$203,11,FALSE),""))</f>
        <v/>
      </c>
    </row>
    <row r="185" spans="1:7" x14ac:dyDescent="0.45">
      <c r="A185" s="13"/>
      <c r="B185" s="13"/>
      <c r="C185" s="16"/>
      <c r="D185" s="13"/>
      <c r="E185" s="13"/>
      <c r="F185" s="17" t="str">
        <f>IF(B185="","",IFERROR(VLOOKUP(B185,'Reel Register'!$B$4:$K$203,10,FALSE),""))</f>
        <v/>
      </c>
      <c r="G185" s="17" t="str">
        <f>IF(B185="","",IFERROR(VLOOKUP(B185,'Reel Register'!$B$4:$L$203,11,FALSE),""))</f>
        <v/>
      </c>
    </row>
    <row r="186" spans="1:7" x14ac:dyDescent="0.45">
      <c r="A186" s="13"/>
      <c r="B186" s="13"/>
      <c r="C186" s="16"/>
      <c r="D186" s="13"/>
      <c r="E186" s="13"/>
      <c r="F186" s="17" t="str">
        <f>IF(B186="","",IFERROR(VLOOKUP(B186,'Reel Register'!$B$4:$K$203,10,FALSE),""))</f>
        <v/>
      </c>
      <c r="G186" s="17" t="str">
        <f>IF(B186="","",IFERROR(VLOOKUP(B186,'Reel Register'!$B$4:$L$203,11,FALSE),""))</f>
        <v/>
      </c>
    </row>
    <row r="187" spans="1:7" x14ac:dyDescent="0.45">
      <c r="A187" s="13"/>
      <c r="B187" s="13"/>
      <c r="C187" s="16"/>
      <c r="D187" s="13"/>
      <c r="E187" s="13"/>
      <c r="F187" s="17" t="str">
        <f>IF(B187="","",IFERROR(VLOOKUP(B187,'Reel Register'!$B$4:$K$203,10,FALSE),""))</f>
        <v/>
      </c>
      <c r="G187" s="17" t="str">
        <f>IF(B187="","",IFERROR(VLOOKUP(B187,'Reel Register'!$B$4:$L$203,11,FALSE),""))</f>
        <v/>
      </c>
    </row>
    <row r="188" spans="1:7" x14ac:dyDescent="0.45">
      <c r="A188" s="13"/>
      <c r="B188" s="13"/>
      <c r="C188" s="16"/>
      <c r="D188" s="13"/>
      <c r="E188" s="13"/>
      <c r="F188" s="17" t="str">
        <f>IF(B188="","",IFERROR(VLOOKUP(B188,'Reel Register'!$B$4:$K$203,10,FALSE),""))</f>
        <v/>
      </c>
      <c r="G188" s="17" t="str">
        <f>IF(B188="","",IFERROR(VLOOKUP(B188,'Reel Register'!$B$4:$L$203,11,FALSE),""))</f>
        <v/>
      </c>
    </row>
    <row r="189" spans="1:7" x14ac:dyDescent="0.45">
      <c r="A189" s="13"/>
      <c r="B189" s="13"/>
      <c r="C189" s="16"/>
      <c r="D189" s="13"/>
      <c r="E189" s="13"/>
      <c r="F189" s="17" t="str">
        <f>IF(B189="","",IFERROR(VLOOKUP(B189,'Reel Register'!$B$4:$K$203,10,FALSE),""))</f>
        <v/>
      </c>
      <c r="G189" s="17" t="str">
        <f>IF(B189="","",IFERROR(VLOOKUP(B189,'Reel Register'!$B$4:$L$203,11,FALSE),""))</f>
        <v/>
      </c>
    </row>
    <row r="190" spans="1:7" x14ac:dyDescent="0.45">
      <c r="A190" s="13"/>
      <c r="B190" s="13"/>
      <c r="C190" s="16"/>
      <c r="D190" s="13"/>
      <c r="E190" s="13"/>
      <c r="F190" s="17" t="str">
        <f>IF(B190="","",IFERROR(VLOOKUP(B190,'Reel Register'!$B$4:$K$203,10,FALSE),""))</f>
        <v/>
      </c>
      <c r="G190" s="17" t="str">
        <f>IF(B190="","",IFERROR(VLOOKUP(B190,'Reel Register'!$B$4:$L$203,11,FALSE),""))</f>
        <v/>
      </c>
    </row>
    <row r="191" spans="1:7" x14ac:dyDescent="0.45">
      <c r="A191" s="13"/>
      <c r="B191" s="13"/>
      <c r="C191" s="16"/>
      <c r="D191" s="13"/>
      <c r="E191" s="13"/>
      <c r="F191" s="17" t="str">
        <f>IF(B191="","",IFERROR(VLOOKUP(B191,'Reel Register'!$B$4:$K$203,10,FALSE),""))</f>
        <v/>
      </c>
      <c r="G191" s="17" t="str">
        <f>IF(B191="","",IFERROR(VLOOKUP(B191,'Reel Register'!$B$4:$L$203,11,FALSE),""))</f>
        <v/>
      </c>
    </row>
    <row r="192" spans="1:7" x14ac:dyDescent="0.45">
      <c r="A192" s="13"/>
      <c r="B192" s="13"/>
      <c r="C192" s="16"/>
      <c r="D192" s="13"/>
      <c r="E192" s="13"/>
      <c r="F192" s="17" t="str">
        <f>IF(B192="","",IFERROR(VLOOKUP(B192,'Reel Register'!$B$4:$K$203,10,FALSE),""))</f>
        <v/>
      </c>
      <c r="G192" s="17" t="str">
        <f>IF(B192="","",IFERROR(VLOOKUP(B192,'Reel Register'!$B$4:$L$203,11,FALSE),""))</f>
        <v/>
      </c>
    </row>
    <row r="193" spans="1:7" x14ac:dyDescent="0.45">
      <c r="A193" s="13"/>
      <c r="B193" s="13"/>
      <c r="C193" s="16"/>
      <c r="D193" s="13"/>
      <c r="E193" s="13"/>
      <c r="F193" s="17" t="str">
        <f>IF(B193="","",IFERROR(VLOOKUP(B193,'Reel Register'!$B$4:$K$203,10,FALSE),""))</f>
        <v/>
      </c>
      <c r="G193" s="17" t="str">
        <f>IF(B193="","",IFERROR(VLOOKUP(B193,'Reel Register'!$B$4:$L$203,11,FALSE),""))</f>
        <v/>
      </c>
    </row>
    <row r="194" spans="1:7" x14ac:dyDescent="0.45">
      <c r="A194" s="13"/>
      <c r="B194" s="13"/>
      <c r="C194" s="16"/>
      <c r="D194" s="13"/>
      <c r="E194" s="13"/>
      <c r="F194" s="17" t="str">
        <f>IF(B194="","",IFERROR(VLOOKUP(B194,'Reel Register'!$B$4:$K$203,10,FALSE),""))</f>
        <v/>
      </c>
      <c r="G194" s="17" t="str">
        <f>IF(B194="","",IFERROR(VLOOKUP(B194,'Reel Register'!$B$4:$L$203,11,FALSE),""))</f>
        <v/>
      </c>
    </row>
    <row r="195" spans="1:7" x14ac:dyDescent="0.45">
      <c r="A195" s="13"/>
      <c r="B195" s="13"/>
      <c r="C195" s="16"/>
      <c r="D195" s="13"/>
      <c r="E195" s="13"/>
      <c r="F195" s="17" t="str">
        <f>IF(B195="","",IFERROR(VLOOKUP(B195,'Reel Register'!$B$4:$K$203,10,FALSE),""))</f>
        <v/>
      </c>
      <c r="G195" s="17" t="str">
        <f>IF(B195="","",IFERROR(VLOOKUP(B195,'Reel Register'!$B$4:$L$203,11,FALSE),""))</f>
        <v/>
      </c>
    </row>
    <row r="196" spans="1:7" x14ac:dyDescent="0.45">
      <c r="A196" s="13"/>
      <c r="B196" s="13"/>
      <c r="C196" s="16"/>
      <c r="D196" s="13"/>
      <c r="E196" s="13"/>
      <c r="F196" s="17" t="str">
        <f>IF(B196="","",IFERROR(VLOOKUP(B196,'Reel Register'!$B$4:$K$203,10,FALSE),""))</f>
        <v/>
      </c>
      <c r="G196" s="17" t="str">
        <f>IF(B196="","",IFERROR(VLOOKUP(B196,'Reel Register'!$B$4:$L$203,11,FALSE),""))</f>
        <v/>
      </c>
    </row>
    <row r="197" spans="1:7" x14ac:dyDescent="0.45">
      <c r="A197" s="13"/>
      <c r="B197" s="13"/>
      <c r="C197" s="16"/>
      <c r="D197" s="13"/>
      <c r="E197" s="13"/>
      <c r="F197" s="17" t="str">
        <f>IF(B197="","",IFERROR(VLOOKUP(B197,'Reel Register'!$B$4:$K$203,10,FALSE),""))</f>
        <v/>
      </c>
      <c r="G197" s="17" t="str">
        <f>IF(B197="","",IFERROR(VLOOKUP(B197,'Reel Register'!$B$4:$L$203,11,FALSE),""))</f>
        <v/>
      </c>
    </row>
    <row r="198" spans="1:7" x14ac:dyDescent="0.45">
      <c r="A198" s="13"/>
      <c r="B198" s="13"/>
      <c r="C198" s="16"/>
      <c r="D198" s="13"/>
      <c r="E198" s="13"/>
      <c r="F198" s="17" t="str">
        <f>IF(B198="","",IFERROR(VLOOKUP(B198,'Reel Register'!$B$4:$K$203,10,FALSE),""))</f>
        <v/>
      </c>
      <c r="G198" s="17" t="str">
        <f>IF(B198="","",IFERROR(VLOOKUP(B198,'Reel Register'!$B$4:$L$203,11,FALSE),""))</f>
        <v/>
      </c>
    </row>
    <row r="199" spans="1:7" x14ac:dyDescent="0.45">
      <c r="A199" s="13"/>
      <c r="B199" s="13"/>
      <c r="C199" s="16"/>
      <c r="D199" s="13"/>
      <c r="E199" s="13"/>
      <c r="F199" s="17" t="str">
        <f>IF(B199="","",IFERROR(VLOOKUP(B199,'Reel Register'!$B$4:$K$203,10,FALSE),""))</f>
        <v/>
      </c>
      <c r="G199" s="17" t="str">
        <f>IF(B199="","",IFERROR(VLOOKUP(B199,'Reel Register'!$B$4:$L$203,11,FALSE),""))</f>
        <v/>
      </c>
    </row>
    <row r="200" spans="1:7" x14ac:dyDescent="0.45">
      <c r="A200" s="13"/>
      <c r="B200" s="13"/>
      <c r="C200" s="16"/>
      <c r="D200" s="13"/>
      <c r="E200" s="13"/>
      <c r="F200" s="17" t="str">
        <f>IF(B200="","",IFERROR(VLOOKUP(B200,'Reel Register'!$B$4:$K$203,10,FALSE),""))</f>
        <v/>
      </c>
      <c r="G200" s="17" t="str">
        <f>IF(B200="","",IFERROR(VLOOKUP(B200,'Reel Register'!$B$4:$L$203,11,FALSE),""))</f>
        <v/>
      </c>
    </row>
    <row r="201" spans="1:7" x14ac:dyDescent="0.45">
      <c r="A201" s="13"/>
      <c r="B201" s="13"/>
      <c r="C201" s="16"/>
      <c r="D201" s="13"/>
      <c r="E201" s="13"/>
      <c r="F201" s="17" t="str">
        <f>IF(B201="","",IFERROR(VLOOKUP(B201,'Reel Register'!$B$4:$K$203,10,FALSE),""))</f>
        <v/>
      </c>
      <c r="G201" s="17" t="str">
        <f>IF(B201="","",IFERROR(VLOOKUP(B201,'Reel Register'!$B$4:$L$203,11,FALSE),""))</f>
        <v/>
      </c>
    </row>
    <row r="202" spans="1:7" x14ac:dyDescent="0.45">
      <c r="A202" s="13"/>
      <c r="B202" s="13"/>
      <c r="C202" s="16"/>
      <c r="D202" s="13"/>
      <c r="E202" s="13"/>
      <c r="F202" s="17" t="str">
        <f>IF(B202="","",IFERROR(VLOOKUP(B202,'Reel Register'!$B$4:$K$203,10,FALSE),""))</f>
        <v/>
      </c>
      <c r="G202" s="17" t="str">
        <f>IF(B202="","",IFERROR(VLOOKUP(B202,'Reel Register'!$B$4:$L$203,11,FALSE),""))</f>
        <v/>
      </c>
    </row>
    <row r="203" spans="1:7" x14ac:dyDescent="0.45">
      <c r="A203" s="13"/>
      <c r="B203" s="13"/>
      <c r="C203" s="16"/>
      <c r="D203" s="13"/>
      <c r="E203" s="13"/>
      <c r="F203" s="17" t="str">
        <f>IF(B203="","",IFERROR(VLOOKUP(B203,'Reel Register'!$B$4:$K$203,10,FALSE),""))</f>
        <v/>
      </c>
      <c r="G203" s="17" t="str">
        <f>IF(B203="","",IFERROR(VLOOKUP(B203,'Reel Register'!$B$4:$L$203,11,FALSE),""))</f>
        <v/>
      </c>
    </row>
    <row r="204" spans="1:7" x14ac:dyDescent="0.45">
      <c r="A204" s="13"/>
      <c r="B204" s="13"/>
      <c r="C204" s="16"/>
      <c r="D204" s="13"/>
      <c r="E204" s="13"/>
      <c r="F204" s="17" t="str">
        <f>IF(B204="","",IFERROR(VLOOKUP(B204,'Reel Register'!$B$4:$K$203,10,FALSE),""))</f>
        <v/>
      </c>
      <c r="G204" s="17" t="str">
        <f>IF(B204="","",IFERROR(VLOOKUP(B204,'Reel Register'!$B$4:$L$203,11,FALSE),""))</f>
        <v/>
      </c>
    </row>
    <row r="205" spans="1:7" x14ac:dyDescent="0.45">
      <c r="A205" s="13"/>
      <c r="B205" s="13"/>
      <c r="C205" s="16"/>
      <c r="D205" s="13"/>
      <c r="E205" s="13"/>
      <c r="F205" s="17" t="str">
        <f>IF(B205="","",IFERROR(VLOOKUP(B205,'Reel Register'!$B$4:$K$203,10,FALSE),""))</f>
        <v/>
      </c>
      <c r="G205" s="17" t="str">
        <f>IF(B205="","",IFERROR(VLOOKUP(B205,'Reel Register'!$B$4:$L$203,11,FALSE),""))</f>
        <v/>
      </c>
    </row>
    <row r="206" spans="1:7" x14ac:dyDescent="0.45">
      <c r="A206" s="13"/>
      <c r="B206" s="13"/>
      <c r="C206" s="16"/>
      <c r="D206" s="13"/>
      <c r="E206" s="13"/>
      <c r="F206" s="17" t="str">
        <f>IF(B206="","",IFERROR(VLOOKUP(B206,'Reel Register'!$B$4:$K$203,10,FALSE),""))</f>
        <v/>
      </c>
      <c r="G206" s="17" t="str">
        <f>IF(B206="","",IFERROR(VLOOKUP(B206,'Reel Register'!$B$4:$L$203,11,FALSE),""))</f>
        <v/>
      </c>
    </row>
    <row r="207" spans="1:7" x14ac:dyDescent="0.45">
      <c r="A207" s="13"/>
      <c r="B207" s="13"/>
      <c r="C207" s="16"/>
      <c r="D207" s="13"/>
      <c r="E207" s="13"/>
      <c r="F207" s="17" t="str">
        <f>IF(B207="","",IFERROR(VLOOKUP(B207,'Reel Register'!$B$4:$K$203,10,FALSE),""))</f>
        <v/>
      </c>
      <c r="G207" s="17" t="str">
        <f>IF(B207="","",IFERROR(VLOOKUP(B207,'Reel Register'!$B$4:$L$203,11,FALSE),""))</f>
        <v/>
      </c>
    </row>
    <row r="208" spans="1:7" x14ac:dyDescent="0.45">
      <c r="A208" s="13"/>
      <c r="B208" s="13"/>
      <c r="C208" s="16"/>
      <c r="D208" s="13"/>
      <c r="E208" s="13"/>
      <c r="F208" s="17" t="str">
        <f>IF(B208="","",IFERROR(VLOOKUP(B208,'Reel Register'!$B$4:$K$203,10,FALSE),""))</f>
        <v/>
      </c>
      <c r="G208" s="17" t="str">
        <f>IF(B208="","",IFERROR(VLOOKUP(B208,'Reel Register'!$B$4:$L$203,11,FALSE),""))</f>
        <v/>
      </c>
    </row>
    <row r="209" spans="1:7" x14ac:dyDescent="0.45">
      <c r="A209" s="13"/>
      <c r="B209" s="13"/>
      <c r="C209" s="16"/>
      <c r="D209" s="13"/>
      <c r="E209" s="13"/>
      <c r="F209" s="17" t="str">
        <f>IF(B209="","",IFERROR(VLOOKUP(B209,'Reel Register'!$B$4:$K$203,10,FALSE),""))</f>
        <v/>
      </c>
      <c r="G209" s="17" t="str">
        <f>IF(B209="","",IFERROR(VLOOKUP(B209,'Reel Register'!$B$4:$L$203,11,FALSE),""))</f>
        <v/>
      </c>
    </row>
    <row r="210" spans="1:7" x14ac:dyDescent="0.45">
      <c r="A210" s="13"/>
      <c r="B210" s="13"/>
      <c r="C210" s="16"/>
      <c r="D210" s="13"/>
      <c r="E210" s="13"/>
      <c r="F210" s="17" t="str">
        <f>IF(B210="","",IFERROR(VLOOKUP(B210,'Reel Register'!$B$4:$K$203,10,FALSE),""))</f>
        <v/>
      </c>
      <c r="G210" s="17" t="str">
        <f>IF(B210="","",IFERROR(VLOOKUP(B210,'Reel Register'!$B$4:$L$203,11,FALSE),""))</f>
        <v/>
      </c>
    </row>
    <row r="211" spans="1:7" x14ac:dyDescent="0.45">
      <c r="A211" s="13"/>
      <c r="B211" s="13"/>
      <c r="C211" s="16"/>
      <c r="D211" s="13"/>
      <c r="E211" s="13"/>
      <c r="F211" s="17" t="str">
        <f>IF(B211="","",IFERROR(VLOOKUP(B211,'Reel Register'!$B$4:$K$203,10,FALSE),""))</f>
        <v/>
      </c>
      <c r="G211" s="17" t="str">
        <f>IF(B211="","",IFERROR(VLOOKUP(B211,'Reel Register'!$B$4:$L$203,11,FALSE),""))</f>
        <v/>
      </c>
    </row>
    <row r="212" spans="1:7" x14ac:dyDescent="0.45">
      <c r="A212" s="13"/>
      <c r="B212" s="13"/>
      <c r="C212" s="16"/>
      <c r="D212" s="13"/>
      <c r="E212" s="13"/>
      <c r="F212" s="17" t="str">
        <f>IF(B212="","",IFERROR(VLOOKUP(B212,'Reel Register'!$B$4:$K$203,10,FALSE),""))</f>
        <v/>
      </c>
      <c r="G212" s="17" t="str">
        <f>IF(B212="","",IFERROR(VLOOKUP(B212,'Reel Register'!$B$4:$L$203,11,FALSE),""))</f>
        <v/>
      </c>
    </row>
    <row r="213" spans="1:7" x14ac:dyDescent="0.45">
      <c r="A213" s="13"/>
      <c r="B213" s="13"/>
      <c r="C213" s="16"/>
      <c r="D213" s="13"/>
      <c r="E213" s="13"/>
      <c r="F213" s="17" t="str">
        <f>IF(B213="","",IFERROR(VLOOKUP(B213,'Reel Register'!$B$4:$K$203,10,FALSE),""))</f>
        <v/>
      </c>
      <c r="G213" s="17" t="str">
        <f>IF(B213="","",IFERROR(VLOOKUP(B213,'Reel Register'!$B$4:$L$203,11,FALSE),""))</f>
        <v/>
      </c>
    </row>
    <row r="214" spans="1:7" x14ac:dyDescent="0.45">
      <c r="A214" s="13"/>
      <c r="B214" s="13"/>
      <c r="C214" s="16"/>
      <c r="D214" s="13"/>
      <c r="E214" s="13"/>
      <c r="F214" s="17" t="str">
        <f>IF(B214="","",IFERROR(VLOOKUP(B214,'Reel Register'!$B$4:$K$203,10,FALSE),""))</f>
        <v/>
      </c>
      <c r="G214" s="17" t="str">
        <f>IF(B214="","",IFERROR(VLOOKUP(B214,'Reel Register'!$B$4:$L$203,11,FALSE),""))</f>
        <v/>
      </c>
    </row>
    <row r="215" spans="1:7" x14ac:dyDescent="0.45">
      <c r="A215" s="13"/>
      <c r="B215" s="13"/>
      <c r="C215" s="16"/>
      <c r="D215" s="13"/>
      <c r="E215" s="13"/>
      <c r="F215" s="17" t="str">
        <f>IF(B215="","",IFERROR(VLOOKUP(B215,'Reel Register'!$B$4:$K$203,10,FALSE),""))</f>
        <v/>
      </c>
      <c r="G215" s="17" t="str">
        <f>IF(B215="","",IFERROR(VLOOKUP(B215,'Reel Register'!$B$4:$L$203,11,FALSE),""))</f>
        <v/>
      </c>
    </row>
    <row r="216" spans="1:7" x14ac:dyDescent="0.45">
      <c r="A216" s="13"/>
      <c r="B216" s="13"/>
      <c r="C216" s="16"/>
      <c r="D216" s="13"/>
      <c r="E216" s="13"/>
      <c r="F216" s="17" t="str">
        <f>IF(B216="","",IFERROR(VLOOKUP(B216,'Reel Register'!$B$4:$K$203,10,FALSE),""))</f>
        <v/>
      </c>
      <c r="G216" s="17" t="str">
        <f>IF(B216="","",IFERROR(VLOOKUP(B216,'Reel Register'!$B$4:$L$203,11,FALSE),""))</f>
        <v/>
      </c>
    </row>
    <row r="217" spans="1:7" x14ac:dyDescent="0.45">
      <c r="A217" s="13"/>
      <c r="B217" s="13"/>
      <c r="C217" s="16"/>
      <c r="D217" s="13"/>
      <c r="E217" s="13"/>
      <c r="F217" s="17" t="str">
        <f>IF(B217="","",IFERROR(VLOOKUP(B217,'Reel Register'!$B$4:$K$203,10,FALSE),""))</f>
        <v/>
      </c>
      <c r="G217" s="17" t="str">
        <f>IF(B217="","",IFERROR(VLOOKUP(B217,'Reel Register'!$B$4:$L$203,11,FALSE),""))</f>
        <v/>
      </c>
    </row>
    <row r="218" spans="1:7" x14ac:dyDescent="0.45">
      <c r="A218" s="13"/>
      <c r="B218" s="13"/>
      <c r="C218" s="16"/>
      <c r="D218" s="13"/>
      <c r="E218" s="13"/>
      <c r="F218" s="17" t="str">
        <f>IF(B218="","",IFERROR(VLOOKUP(B218,'Reel Register'!$B$4:$K$203,10,FALSE),""))</f>
        <v/>
      </c>
      <c r="G218" s="17" t="str">
        <f>IF(B218="","",IFERROR(VLOOKUP(B218,'Reel Register'!$B$4:$L$203,11,FALSE),""))</f>
        <v/>
      </c>
    </row>
    <row r="219" spans="1:7" x14ac:dyDescent="0.45">
      <c r="A219" s="13"/>
      <c r="B219" s="13"/>
      <c r="C219" s="16"/>
      <c r="D219" s="13"/>
      <c r="E219" s="13"/>
      <c r="F219" s="17" t="str">
        <f>IF(B219="","",IFERROR(VLOOKUP(B219,'Reel Register'!$B$4:$K$203,10,FALSE),""))</f>
        <v/>
      </c>
      <c r="G219" s="17" t="str">
        <f>IF(B219="","",IFERROR(VLOOKUP(B219,'Reel Register'!$B$4:$L$203,11,FALSE),""))</f>
        <v/>
      </c>
    </row>
    <row r="220" spans="1:7" x14ac:dyDescent="0.45">
      <c r="A220" s="13"/>
      <c r="B220" s="13"/>
      <c r="C220" s="16"/>
      <c r="D220" s="13"/>
      <c r="E220" s="13"/>
      <c r="F220" s="17" t="str">
        <f>IF(B220="","",IFERROR(VLOOKUP(B220,'Reel Register'!$B$4:$K$203,10,FALSE),""))</f>
        <v/>
      </c>
      <c r="G220" s="17" t="str">
        <f>IF(B220="","",IFERROR(VLOOKUP(B220,'Reel Register'!$B$4:$L$203,11,FALSE),""))</f>
        <v/>
      </c>
    </row>
    <row r="221" spans="1:7" x14ac:dyDescent="0.45">
      <c r="A221" s="13"/>
      <c r="B221" s="13"/>
      <c r="C221" s="16"/>
      <c r="D221" s="13"/>
      <c r="E221" s="13"/>
      <c r="F221" s="17" t="str">
        <f>IF(B221="","",IFERROR(VLOOKUP(B221,'Reel Register'!$B$4:$K$203,10,FALSE),""))</f>
        <v/>
      </c>
      <c r="G221" s="17" t="str">
        <f>IF(B221="","",IFERROR(VLOOKUP(B221,'Reel Register'!$B$4:$L$203,11,FALSE),""))</f>
        <v/>
      </c>
    </row>
    <row r="222" spans="1:7" x14ac:dyDescent="0.45">
      <c r="A222" s="13"/>
      <c r="B222" s="13"/>
      <c r="C222" s="16"/>
      <c r="D222" s="13"/>
      <c r="E222" s="13"/>
      <c r="F222" s="17" t="str">
        <f>IF(B222="","",IFERROR(VLOOKUP(B222,'Reel Register'!$B$4:$K$203,10,FALSE),""))</f>
        <v/>
      </c>
      <c r="G222" s="17" t="str">
        <f>IF(B222="","",IFERROR(VLOOKUP(B222,'Reel Register'!$B$4:$L$203,11,FALSE),""))</f>
        <v/>
      </c>
    </row>
    <row r="223" spans="1:7" x14ac:dyDescent="0.45">
      <c r="A223" s="13"/>
      <c r="B223" s="13"/>
      <c r="C223" s="16"/>
      <c r="D223" s="13"/>
      <c r="E223" s="13"/>
      <c r="F223" s="17" t="str">
        <f>IF(B223="","",IFERROR(VLOOKUP(B223,'Reel Register'!$B$4:$K$203,10,FALSE),""))</f>
        <v/>
      </c>
      <c r="G223" s="17" t="str">
        <f>IF(B223="","",IFERROR(VLOOKUP(B223,'Reel Register'!$B$4:$L$203,11,FALSE),""))</f>
        <v/>
      </c>
    </row>
    <row r="224" spans="1:7" x14ac:dyDescent="0.45">
      <c r="A224" s="13"/>
      <c r="B224" s="13"/>
      <c r="C224" s="16"/>
      <c r="D224" s="13"/>
      <c r="E224" s="13"/>
      <c r="F224" s="17" t="str">
        <f>IF(B224="","",IFERROR(VLOOKUP(B224,'Reel Register'!$B$4:$K$203,10,FALSE),""))</f>
        <v/>
      </c>
      <c r="G224" s="17" t="str">
        <f>IF(B224="","",IFERROR(VLOOKUP(B224,'Reel Register'!$B$4:$L$203,11,FALSE),""))</f>
        <v/>
      </c>
    </row>
    <row r="225" spans="1:7" x14ac:dyDescent="0.45">
      <c r="A225" s="13"/>
      <c r="B225" s="13"/>
      <c r="C225" s="16"/>
      <c r="D225" s="13"/>
      <c r="E225" s="13"/>
      <c r="F225" s="17" t="str">
        <f>IF(B225="","",IFERROR(VLOOKUP(B225,'Reel Register'!$B$4:$K$203,10,FALSE),""))</f>
        <v/>
      </c>
      <c r="G225" s="17" t="str">
        <f>IF(B225="","",IFERROR(VLOOKUP(B225,'Reel Register'!$B$4:$L$203,11,FALSE),""))</f>
        <v/>
      </c>
    </row>
    <row r="226" spans="1:7" x14ac:dyDescent="0.45">
      <c r="A226" s="13"/>
      <c r="B226" s="13"/>
      <c r="C226" s="16"/>
      <c r="D226" s="13"/>
      <c r="E226" s="13"/>
      <c r="F226" s="17" t="str">
        <f>IF(B226="","",IFERROR(VLOOKUP(B226,'Reel Register'!$B$4:$K$203,10,FALSE),""))</f>
        <v/>
      </c>
      <c r="G226" s="17" t="str">
        <f>IF(B226="","",IFERROR(VLOOKUP(B226,'Reel Register'!$B$4:$L$203,11,FALSE),""))</f>
        <v/>
      </c>
    </row>
    <row r="227" spans="1:7" x14ac:dyDescent="0.45">
      <c r="A227" s="13"/>
      <c r="B227" s="13"/>
      <c r="C227" s="16"/>
      <c r="D227" s="13"/>
      <c r="E227" s="13"/>
      <c r="F227" s="17" t="str">
        <f>IF(B227="","",IFERROR(VLOOKUP(B227,'Reel Register'!$B$4:$K$203,10,FALSE),""))</f>
        <v/>
      </c>
      <c r="G227" s="17" t="str">
        <f>IF(B227="","",IFERROR(VLOOKUP(B227,'Reel Register'!$B$4:$L$203,11,FALSE),""))</f>
        <v/>
      </c>
    </row>
    <row r="228" spans="1:7" x14ac:dyDescent="0.45">
      <c r="A228" s="13"/>
      <c r="B228" s="13"/>
      <c r="C228" s="16"/>
      <c r="D228" s="13"/>
      <c r="E228" s="13"/>
      <c r="F228" s="17" t="str">
        <f>IF(B228="","",IFERROR(VLOOKUP(B228,'Reel Register'!$B$4:$K$203,10,FALSE),""))</f>
        <v/>
      </c>
      <c r="G228" s="17" t="str">
        <f>IF(B228="","",IFERROR(VLOOKUP(B228,'Reel Register'!$B$4:$L$203,11,FALSE),""))</f>
        <v/>
      </c>
    </row>
    <row r="229" spans="1:7" x14ac:dyDescent="0.45">
      <c r="A229" s="13"/>
      <c r="B229" s="13"/>
      <c r="C229" s="16"/>
      <c r="D229" s="13"/>
      <c r="E229" s="13"/>
      <c r="F229" s="17" t="str">
        <f>IF(B229="","",IFERROR(VLOOKUP(B229,'Reel Register'!$B$4:$K$203,10,FALSE),""))</f>
        <v/>
      </c>
      <c r="G229" s="17" t="str">
        <f>IF(B229="","",IFERROR(VLOOKUP(B229,'Reel Register'!$B$4:$L$203,11,FALSE),""))</f>
        <v/>
      </c>
    </row>
    <row r="230" spans="1:7" x14ac:dyDescent="0.45">
      <c r="A230" s="13"/>
      <c r="B230" s="13"/>
      <c r="C230" s="16"/>
      <c r="D230" s="13"/>
      <c r="E230" s="13"/>
      <c r="F230" s="17" t="str">
        <f>IF(B230="","",IFERROR(VLOOKUP(B230,'Reel Register'!$B$4:$K$203,10,FALSE),""))</f>
        <v/>
      </c>
      <c r="G230" s="17" t="str">
        <f>IF(B230="","",IFERROR(VLOOKUP(B230,'Reel Register'!$B$4:$L$203,11,FALSE),""))</f>
        <v/>
      </c>
    </row>
    <row r="231" spans="1:7" x14ac:dyDescent="0.45">
      <c r="A231" s="13"/>
      <c r="B231" s="13"/>
      <c r="C231" s="16"/>
      <c r="D231" s="13"/>
      <c r="E231" s="13"/>
      <c r="F231" s="17" t="str">
        <f>IF(B231="","",IFERROR(VLOOKUP(B231,'Reel Register'!$B$4:$K$203,10,FALSE),""))</f>
        <v/>
      </c>
      <c r="G231" s="17" t="str">
        <f>IF(B231="","",IFERROR(VLOOKUP(B231,'Reel Register'!$B$4:$L$203,11,FALSE),""))</f>
        <v/>
      </c>
    </row>
    <row r="232" spans="1:7" x14ac:dyDescent="0.45">
      <c r="A232" s="13"/>
      <c r="B232" s="13"/>
      <c r="C232" s="16"/>
      <c r="D232" s="13"/>
      <c r="E232" s="13"/>
      <c r="F232" s="17" t="str">
        <f>IF(B232="","",IFERROR(VLOOKUP(B232,'Reel Register'!$B$4:$K$203,10,FALSE),""))</f>
        <v/>
      </c>
      <c r="G232" s="17" t="str">
        <f>IF(B232="","",IFERROR(VLOOKUP(B232,'Reel Register'!$B$4:$L$203,11,FALSE),""))</f>
        <v/>
      </c>
    </row>
    <row r="233" spans="1:7" x14ac:dyDescent="0.45">
      <c r="A233" s="13"/>
      <c r="B233" s="13"/>
      <c r="C233" s="16"/>
      <c r="D233" s="13"/>
      <c r="E233" s="13"/>
      <c r="F233" s="17" t="str">
        <f>IF(B233="","",IFERROR(VLOOKUP(B233,'Reel Register'!$B$4:$K$203,10,FALSE),""))</f>
        <v/>
      </c>
      <c r="G233" s="17" t="str">
        <f>IF(B233="","",IFERROR(VLOOKUP(B233,'Reel Register'!$B$4:$L$203,11,FALSE),""))</f>
        <v/>
      </c>
    </row>
    <row r="234" spans="1:7" x14ac:dyDescent="0.45">
      <c r="A234" s="13"/>
      <c r="B234" s="13"/>
      <c r="C234" s="16"/>
      <c r="D234" s="13"/>
      <c r="E234" s="13"/>
      <c r="F234" s="17" t="str">
        <f>IF(B234="","",IFERROR(VLOOKUP(B234,'Reel Register'!$B$4:$K$203,10,FALSE),""))</f>
        <v/>
      </c>
      <c r="G234" s="17" t="str">
        <f>IF(B234="","",IFERROR(VLOOKUP(B234,'Reel Register'!$B$4:$L$203,11,FALSE),""))</f>
        <v/>
      </c>
    </row>
    <row r="235" spans="1:7" x14ac:dyDescent="0.45">
      <c r="A235" s="13"/>
      <c r="B235" s="13"/>
      <c r="C235" s="16"/>
      <c r="D235" s="13"/>
      <c r="E235" s="13"/>
      <c r="F235" s="17" t="str">
        <f>IF(B235="","",IFERROR(VLOOKUP(B235,'Reel Register'!$B$4:$K$203,10,FALSE),""))</f>
        <v/>
      </c>
      <c r="G235" s="17" t="str">
        <f>IF(B235="","",IFERROR(VLOOKUP(B235,'Reel Register'!$B$4:$L$203,11,FALSE),""))</f>
        <v/>
      </c>
    </row>
    <row r="236" spans="1:7" x14ac:dyDescent="0.45">
      <c r="A236" s="13"/>
      <c r="B236" s="13"/>
      <c r="C236" s="16"/>
      <c r="D236" s="13"/>
      <c r="E236" s="13"/>
      <c r="F236" s="17" t="str">
        <f>IF(B236="","",IFERROR(VLOOKUP(B236,'Reel Register'!$B$4:$K$203,10,FALSE),""))</f>
        <v/>
      </c>
      <c r="G236" s="17" t="str">
        <f>IF(B236="","",IFERROR(VLOOKUP(B236,'Reel Register'!$B$4:$L$203,11,FALSE),""))</f>
        <v/>
      </c>
    </row>
    <row r="237" spans="1:7" x14ac:dyDescent="0.45">
      <c r="A237" s="13"/>
      <c r="B237" s="13"/>
      <c r="C237" s="16"/>
      <c r="D237" s="13"/>
      <c r="E237" s="13"/>
      <c r="F237" s="17" t="str">
        <f>IF(B237="","",IFERROR(VLOOKUP(B237,'Reel Register'!$B$4:$K$203,10,FALSE),""))</f>
        <v/>
      </c>
      <c r="G237" s="17" t="str">
        <f>IF(B237="","",IFERROR(VLOOKUP(B237,'Reel Register'!$B$4:$L$203,11,FALSE),""))</f>
        <v/>
      </c>
    </row>
    <row r="238" spans="1:7" x14ac:dyDescent="0.45">
      <c r="A238" s="13"/>
      <c r="B238" s="13"/>
      <c r="C238" s="16"/>
      <c r="D238" s="13"/>
      <c r="E238" s="13"/>
      <c r="F238" s="17" t="str">
        <f>IF(B238="","",IFERROR(VLOOKUP(B238,'Reel Register'!$B$4:$K$203,10,FALSE),""))</f>
        <v/>
      </c>
      <c r="G238" s="17" t="str">
        <f>IF(B238="","",IFERROR(VLOOKUP(B238,'Reel Register'!$B$4:$L$203,11,FALSE),""))</f>
        <v/>
      </c>
    </row>
    <row r="239" spans="1:7" x14ac:dyDescent="0.45">
      <c r="A239" s="13"/>
      <c r="B239" s="13"/>
      <c r="C239" s="16"/>
      <c r="D239" s="13"/>
      <c r="E239" s="13"/>
      <c r="F239" s="17" t="str">
        <f>IF(B239="","",IFERROR(VLOOKUP(B239,'Reel Register'!$B$4:$K$203,10,FALSE),""))</f>
        <v/>
      </c>
      <c r="G239" s="17" t="str">
        <f>IF(B239="","",IFERROR(VLOOKUP(B239,'Reel Register'!$B$4:$L$203,11,FALSE),""))</f>
        <v/>
      </c>
    </row>
    <row r="240" spans="1:7" x14ac:dyDescent="0.45">
      <c r="A240" s="13"/>
      <c r="B240" s="13"/>
      <c r="C240" s="16"/>
      <c r="D240" s="13"/>
      <c r="E240" s="13"/>
      <c r="F240" s="17" t="str">
        <f>IF(B240="","",IFERROR(VLOOKUP(B240,'Reel Register'!$B$4:$K$203,10,FALSE),""))</f>
        <v/>
      </c>
      <c r="G240" s="17" t="str">
        <f>IF(B240="","",IFERROR(VLOOKUP(B240,'Reel Register'!$B$4:$L$203,11,FALSE),""))</f>
        <v/>
      </c>
    </row>
    <row r="241" spans="1:7" x14ac:dyDescent="0.45">
      <c r="A241" s="13"/>
      <c r="B241" s="13"/>
      <c r="C241" s="16"/>
      <c r="D241" s="13"/>
      <c r="E241" s="13"/>
      <c r="F241" s="17" t="str">
        <f>IF(B241="","",IFERROR(VLOOKUP(B241,'Reel Register'!$B$4:$K$203,10,FALSE),""))</f>
        <v/>
      </c>
      <c r="G241" s="17" t="str">
        <f>IF(B241="","",IFERROR(VLOOKUP(B241,'Reel Register'!$B$4:$L$203,11,FALSE),""))</f>
        <v/>
      </c>
    </row>
    <row r="242" spans="1:7" x14ac:dyDescent="0.45">
      <c r="A242" s="13"/>
      <c r="B242" s="13"/>
      <c r="C242" s="16"/>
      <c r="D242" s="13"/>
      <c r="E242" s="13"/>
      <c r="F242" s="17" t="str">
        <f>IF(B242="","",IFERROR(VLOOKUP(B242,'Reel Register'!$B$4:$K$203,10,FALSE),""))</f>
        <v/>
      </c>
      <c r="G242" s="17" t="str">
        <f>IF(B242="","",IFERROR(VLOOKUP(B242,'Reel Register'!$B$4:$L$203,11,FALSE),""))</f>
        <v/>
      </c>
    </row>
    <row r="243" spans="1:7" x14ac:dyDescent="0.45">
      <c r="A243" s="13"/>
      <c r="B243" s="13"/>
      <c r="C243" s="16"/>
      <c r="D243" s="13"/>
      <c r="E243" s="13"/>
      <c r="F243" s="17" t="str">
        <f>IF(B243="","",IFERROR(VLOOKUP(B243,'Reel Register'!$B$4:$K$203,10,FALSE),""))</f>
        <v/>
      </c>
      <c r="G243" s="17" t="str">
        <f>IF(B243="","",IFERROR(VLOOKUP(B243,'Reel Register'!$B$4:$L$203,11,FALSE),""))</f>
        <v/>
      </c>
    </row>
    <row r="244" spans="1:7" x14ac:dyDescent="0.45">
      <c r="A244" s="13"/>
      <c r="B244" s="13"/>
      <c r="C244" s="16"/>
      <c r="D244" s="13"/>
      <c r="E244" s="13"/>
      <c r="F244" s="17" t="str">
        <f>IF(B244="","",IFERROR(VLOOKUP(B244,'Reel Register'!$B$4:$K$203,10,FALSE),""))</f>
        <v/>
      </c>
      <c r="G244" s="17" t="str">
        <f>IF(B244="","",IFERROR(VLOOKUP(B244,'Reel Register'!$B$4:$L$203,11,FALSE),""))</f>
        <v/>
      </c>
    </row>
    <row r="245" spans="1:7" x14ac:dyDescent="0.45">
      <c r="A245" s="13"/>
      <c r="B245" s="13"/>
      <c r="C245" s="16"/>
      <c r="D245" s="13"/>
      <c r="E245" s="13"/>
      <c r="F245" s="17" t="str">
        <f>IF(B245="","",IFERROR(VLOOKUP(B245,'Reel Register'!$B$4:$K$203,10,FALSE),""))</f>
        <v/>
      </c>
      <c r="G245" s="17" t="str">
        <f>IF(B245="","",IFERROR(VLOOKUP(B245,'Reel Register'!$B$4:$L$203,11,FALSE),""))</f>
        <v/>
      </c>
    </row>
    <row r="246" spans="1:7" x14ac:dyDescent="0.45">
      <c r="A246" s="13"/>
      <c r="B246" s="13"/>
      <c r="C246" s="16"/>
      <c r="D246" s="13"/>
      <c r="E246" s="13"/>
      <c r="F246" s="17" t="str">
        <f>IF(B246="","",IFERROR(VLOOKUP(B246,'Reel Register'!$B$4:$K$203,10,FALSE),""))</f>
        <v/>
      </c>
      <c r="G246" s="17" t="str">
        <f>IF(B246="","",IFERROR(VLOOKUP(B246,'Reel Register'!$B$4:$L$203,11,FALSE),""))</f>
        <v/>
      </c>
    </row>
    <row r="247" spans="1:7" x14ac:dyDescent="0.45">
      <c r="A247" s="13"/>
      <c r="B247" s="13"/>
      <c r="C247" s="16"/>
      <c r="D247" s="13"/>
      <c r="E247" s="13"/>
      <c r="F247" s="17" t="str">
        <f>IF(B247="","",IFERROR(VLOOKUP(B247,'Reel Register'!$B$4:$K$203,10,FALSE),""))</f>
        <v/>
      </c>
      <c r="G247" s="17" t="str">
        <f>IF(B247="","",IFERROR(VLOOKUP(B247,'Reel Register'!$B$4:$L$203,11,FALSE),""))</f>
        <v/>
      </c>
    </row>
    <row r="248" spans="1:7" x14ac:dyDescent="0.45">
      <c r="A248" s="13"/>
      <c r="B248" s="13"/>
      <c r="C248" s="16"/>
      <c r="D248" s="13"/>
      <c r="E248" s="13"/>
      <c r="F248" s="17" t="str">
        <f>IF(B248="","",IFERROR(VLOOKUP(B248,'Reel Register'!$B$4:$K$203,10,FALSE),""))</f>
        <v/>
      </c>
      <c r="G248" s="17" t="str">
        <f>IF(B248="","",IFERROR(VLOOKUP(B248,'Reel Register'!$B$4:$L$203,11,FALSE),""))</f>
        <v/>
      </c>
    </row>
    <row r="249" spans="1:7" x14ac:dyDescent="0.45">
      <c r="A249" s="13"/>
      <c r="B249" s="13"/>
      <c r="C249" s="16"/>
      <c r="D249" s="13"/>
      <c r="E249" s="13"/>
      <c r="F249" s="17" t="str">
        <f>IF(B249="","",IFERROR(VLOOKUP(B249,'Reel Register'!$B$4:$K$203,10,FALSE),""))</f>
        <v/>
      </c>
      <c r="G249" s="17" t="str">
        <f>IF(B249="","",IFERROR(VLOOKUP(B249,'Reel Register'!$B$4:$L$203,11,FALSE),""))</f>
        <v/>
      </c>
    </row>
    <row r="250" spans="1:7" x14ac:dyDescent="0.45">
      <c r="A250" s="13"/>
      <c r="B250" s="13"/>
      <c r="C250" s="16"/>
      <c r="D250" s="13"/>
      <c r="E250" s="13"/>
      <c r="F250" s="17" t="str">
        <f>IF(B250="","",IFERROR(VLOOKUP(B250,'Reel Register'!$B$4:$K$203,10,FALSE),""))</f>
        <v/>
      </c>
      <c r="G250" s="17" t="str">
        <f>IF(B250="","",IFERROR(VLOOKUP(B250,'Reel Register'!$B$4:$L$203,11,FALSE),""))</f>
        <v/>
      </c>
    </row>
    <row r="251" spans="1:7" x14ac:dyDescent="0.45">
      <c r="A251" s="13"/>
      <c r="B251" s="13"/>
      <c r="C251" s="16"/>
      <c r="D251" s="13"/>
      <c r="E251" s="13"/>
      <c r="F251" s="17" t="str">
        <f>IF(B251="","",IFERROR(VLOOKUP(B251,'Reel Register'!$B$4:$K$203,10,FALSE),""))</f>
        <v/>
      </c>
      <c r="G251" s="17" t="str">
        <f>IF(B251="","",IFERROR(VLOOKUP(B251,'Reel Register'!$B$4:$L$203,11,FALSE),""))</f>
        <v/>
      </c>
    </row>
    <row r="252" spans="1:7" x14ac:dyDescent="0.45">
      <c r="A252" s="13"/>
      <c r="B252" s="13"/>
      <c r="C252" s="16"/>
      <c r="D252" s="13"/>
      <c r="E252" s="13"/>
      <c r="F252" s="17" t="str">
        <f>IF(B252="","",IFERROR(VLOOKUP(B252,'Reel Register'!$B$4:$K$203,10,FALSE),""))</f>
        <v/>
      </c>
      <c r="G252" s="17" t="str">
        <f>IF(B252="","",IFERROR(VLOOKUP(B252,'Reel Register'!$B$4:$L$203,11,FALSE),""))</f>
        <v/>
      </c>
    </row>
    <row r="253" spans="1:7" x14ac:dyDescent="0.45">
      <c r="A253" s="13"/>
      <c r="B253" s="13"/>
      <c r="C253" s="16"/>
      <c r="D253" s="13"/>
      <c r="E253" s="13"/>
      <c r="F253" s="17" t="str">
        <f>IF(B253="","",IFERROR(VLOOKUP(B253,'Reel Register'!$B$4:$K$203,10,FALSE),""))</f>
        <v/>
      </c>
      <c r="G253" s="17" t="str">
        <f>IF(B253="","",IFERROR(VLOOKUP(B253,'Reel Register'!$B$4:$L$203,11,FALSE),""))</f>
        <v/>
      </c>
    </row>
    <row r="254" spans="1:7" x14ac:dyDescent="0.45">
      <c r="A254" s="13"/>
      <c r="B254" s="13"/>
      <c r="C254" s="16"/>
      <c r="D254" s="13"/>
      <c r="E254" s="13"/>
      <c r="F254" s="17" t="str">
        <f>IF(B254="","",IFERROR(VLOOKUP(B254,'Reel Register'!$B$4:$K$203,10,FALSE),""))</f>
        <v/>
      </c>
      <c r="G254" s="17" t="str">
        <f>IF(B254="","",IFERROR(VLOOKUP(B254,'Reel Register'!$B$4:$L$203,11,FALSE),""))</f>
        <v/>
      </c>
    </row>
    <row r="255" spans="1:7" x14ac:dyDescent="0.45">
      <c r="A255" s="13"/>
      <c r="B255" s="13"/>
      <c r="C255" s="16"/>
      <c r="D255" s="13"/>
      <c r="E255" s="13"/>
      <c r="F255" s="17" t="str">
        <f>IF(B255="","",IFERROR(VLOOKUP(B255,'Reel Register'!$B$4:$K$203,10,FALSE),""))</f>
        <v/>
      </c>
      <c r="G255" s="17" t="str">
        <f>IF(B255="","",IFERROR(VLOOKUP(B255,'Reel Register'!$B$4:$L$203,11,FALSE),""))</f>
        <v/>
      </c>
    </row>
    <row r="256" spans="1:7" x14ac:dyDescent="0.45">
      <c r="A256" s="13"/>
      <c r="B256" s="13"/>
      <c r="C256" s="16"/>
      <c r="D256" s="13"/>
      <c r="E256" s="13"/>
      <c r="F256" s="17" t="str">
        <f>IF(B256="","",IFERROR(VLOOKUP(B256,'Reel Register'!$B$4:$K$203,10,FALSE),""))</f>
        <v/>
      </c>
      <c r="G256" s="17" t="str">
        <f>IF(B256="","",IFERROR(VLOOKUP(B256,'Reel Register'!$B$4:$L$203,11,FALSE),""))</f>
        <v/>
      </c>
    </row>
    <row r="257" spans="1:7" x14ac:dyDescent="0.45">
      <c r="A257" s="13"/>
      <c r="B257" s="13"/>
      <c r="C257" s="16"/>
      <c r="D257" s="13"/>
      <c r="E257" s="13"/>
      <c r="F257" s="17" t="str">
        <f>IF(B257="","",IFERROR(VLOOKUP(B257,'Reel Register'!$B$4:$K$203,10,FALSE),""))</f>
        <v/>
      </c>
      <c r="G257" s="17" t="str">
        <f>IF(B257="","",IFERROR(VLOOKUP(B257,'Reel Register'!$B$4:$L$203,11,FALSE),""))</f>
        <v/>
      </c>
    </row>
    <row r="258" spans="1:7" x14ac:dyDescent="0.45">
      <c r="A258" s="13"/>
      <c r="B258" s="13"/>
      <c r="C258" s="16"/>
      <c r="D258" s="13"/>
      <c r="E258" s="13"/>
      <c r="F258" s="17" t="str">
        <f>IF(B258="","",IFERROR(VLOOKUP(B258,'Reel Register'!$B$4:$K$203,10,FALSE),""))</f>
        <v/>
      </c>
      <c r="G258" s="17" t="str">
        <f>IF(B258="","",IFERROR(VLOOKUP(B258,'Reel Register'!$B$4:$L$203,11,FALSE),""))</f>
        <v/>
      </c>
    </row>
    <row r="259" spans="1:7" x14ac:dyDescent="0.45">
      <c r="A259" s="13"/>
      <c r="B259" s="13"/>
      <c r="C259" s="16"/>
      <c r="D259" s="13"/>
      <c r="E259" s="13"/>
      <c r="F259" s="17" t="str">
        <f>IF(B259="","",IFERROR(VLOOKUP(B259,'Reel Register'!$B$4:$K$203,10,FALSE),""))</f>
        <v/>
      </c>
      <c r="G259" s="17" t="str">
        <f>IF(B259="","",IFERROR(VLOOKUP(B259,'Reel Register'!$B$4:$L$203,11,FALSE),""))</f>
        <v/>
      </c>
    </row>
    <row r="260" spans="1:7" x14ac:dyDescent="0.45">
      <c r="A260" s="13"/>
      <c r="B260" s="13"/>
      <c r="C260" s="16"/>
      <c r="D260" s="13"/>
      <c r="E260" s="13"/>
      <c r="F260" s="17" t="str">
        <f>IF(B260="","",IFERROR(VLOOKUP(B260,'Reel Register'!$B$4:$K$203,10,FALSE),""))</f>
        <v/>
      </c>
      <c r="G260" s="17" t="str">
        <f>IF(B260="","",IFERROR(VLOOKUP(B260,'Reel Register'!$B$4:$L$203,11,FALSE),""))</f>
        <v/>
      </c>
    </row>
    <row r="261" spans="1:7" x14ac:dyDescent="0.45">
      <c r="A261" s="13"/>
      <c r="B261" s="13"/>
      <c r="C261" s="16"/>
      <c r="D261" s="13"/>
      <c r="E261" s="13"/>
      <c r="F261" s="17" t="str">
        <f>IF(B261="","",IFERROR(VLOOKUP(B261,'Reel Register'!$B$4:$K$203,10,FALSE),""))</f>
        <v/>
      </c>
      <c r="G261" s="17" t="str">
        <f>IF(B261="","",IFERROR(VLOOKUP(B261,'Reel Register'!$B$4:$L$203,11,FALSE),""))</f>
        <v/>
      </c>
    </row>
    <row r="262" spans="1:7" x14ac:dyDescent="0.45">
      <c r="A262" s="13"/>
      <c r="B262" s="13"/>
      <c r="C262" s="16"/>
      <c r="D262" s="13"/>
      <c r="E262" s="13"/>
      <c r="F262" s="17" t="str">
        <f>IF(B262="","",IFERROR(VLOOKUP(B262,'Reel Register'!$B$4:$K$203,10,FALSE),""))</f>
        <v/>
      </c>
      <c r="G262" s="17" t="str">
        <f>IF(B262="","",IFERROR(VLOOKUP(B262,'Reel Register'!$B$4:$L$203,11,FALSE),""))</f>
        <v/>
      </c>
    </row>
    <row r="263" spans="1:7" x14ac:dyDescent="0.45">
      <c r="A263" s="13"/>
      <c r="B263" s="13"/>
      <c r="C263" s="16"/>
      <c r="D263" s="13"/>
      <c r="E263" s="13"/>
      <c r="F263" s="17" t="str">
        <f>IF(B263="","",IFERROR(VLOOKUP(B263,'Reel Register'!$B$4:$K$203,10,FALSE),""))</f>
        <v/>
      </c>
      <c r="G263" s="17" t="str">
        <f>IF(B263="","",IFERROR(VLOOKUP(B263,'Reel Register'!$B$4:$L$203,11,FALSE),""))</f>
        <v/>
      </c>
    </row>
    <row r="264" spans="1:7" x14ac:dyDescent="0.45">
      <c r="A264" s="13"/>
      <c r="B264" s="13"/>
      <c r="C264" s="16"/>
      <c r="D264" s="13"/>
      <c r="E264" s="13"/>
      <c r="F264" s="17" t="str">
        <f>IF(B264="","",IFERROR(VLOOKUP(B264,'Reel Register'!$B$4:$K$203,10,FALSE),""))</f>
        <v/>
      </c>
      <c r="G264" s="17" t="str">
        <f>IF(B264="","",IFERROR(VLOOKUP(B264,'Reel Register'!$B$4:$L$203,11,FALSE),""))</f>
        <v/>
      </c>
    </row>
    <row r="265" spans="1:7" x14ac:dyDescent="0.45">
      <c r="A265" s="13"/>
      <c r="B265" s="13"/>
      <c r="C265" s="16"/>
      <c r="D265" s="13"/>
      <c r="E265" s="13"/>
      <c r="F265" s="17" t="str">
        <f>IF(B265="","",IFERROR(VLOOKUP(B265,'Reel Register'!$B$4:$K$203,10,FALSE),""))</f>
        <v/>
      </c>
      <c r="G265" s="17" t="str">
        <f>IF(B265="","",IFERROR(VLOOKUP(B265,'Reel Register'!$B$4:$L$203,11,FALSE),""))</f>
        <v/>
      </c>
    </row>
    <row r="266" spans="1:7" x14ac:dyDescent="0.45">
      <c r="A266" s="13"/>
      <c r="B266" s="13"/>
      <c r="C266" s="16"/>
      <c r="D266" s="13"/>
      <c r="E266" s="13"/>
      <c r="F266" s="17" t="str">
        <f>IF(B266="","",IFERROR(VLOOKUP(B266,'Reel Register'!$B$4:$K$203,10,FALSE),""))</f>
        <v/>
      </c>
      <c r="G266" s="17" t="str">
        <f>IF(B266="","",IFERROR(VLOOKUP(B266,'Reel Register'!$B$4:$L$203,11,FALSE),""))</f>
        <v/>
      </c>
    </row>
    <row r="267" spans="1:7" x14ac:dyDescent="0.45">
      <c r="A267" s="13"/>
      <c r="B267" s="13"/>
      <c r="C267" s="16"/>
      <c r="D267" s="13"/>
      <c r="E267" s="13"/>
      <c r="F267" s="17" t="str">
        <f>IF(B267="","",IFERROR(VLOOKUP(B267,'Reel Register'!$B$4:$K$203,10,FALSE),""))</f>
        <v/>
      </c>
      <c r="G267" s="17" t="str">
        <f>IF(B267="","",IFERROR(VLOOKUP(B267,'Reel Register'!$B$4:$L$203,11,FALSE),""))</f>
        <v/>
      </c>
    </row>
    <row r="268" spans="1:7" x14ac:dyDescent="0.45">
      <c r="A268" s="13"/>
      <c r="B268" s="13"/>
      <c r="C268" s="16"/>
      <c r="D268" s="13"/>
      <c r="E268" s="13"/>
      <c r="F268" s="17" t="str">
        <f>IF(B268="","",IFERROR(VLOOKUP(B268,'Reel Register'!$B$4:$K$203,10,FALSE),""))</f>
        <v/>
      </c>
      <c r="G268" s="17" t="str">
        <f>IF(B268="","",IFERROR(VLOOKUP(B268,'Reel Register'!$B$4:$L$203,11,FALSE),""))</f>
        <v/>
      </c>
    </row>
    <row r="269" spans="1:7" x14ac:dyDescent="0.45">
      <c r="A269" s="13"/>
      <c r="B269" s="13"/>
      <c r="C269" s="16"/>
      <c r="D269" s="13"/>
      <c r="E269" s="13"/>
      <c r="F269" s="17" t="str">
        <f>IF(B269="","",IFERROR(VLOOKUP(B269,'Reel Register'!$B$4:$K$203,10,FALSE),""))</f>
        <v/>
      </c>
      <c r="G269" s="17" t="str">
        <f>IF(B269="","",IFERROR(VLOOKUP(B269,'Reel Register'!$B$4:$L$203,11,FALSE),""))</f>
        <v/>
      </c>
    </row>
    <row r="270" spans="1:7" x14ac:dyDescent="0.45">
      <c r="A270" s="13"/>
      <c r="B270" s="13"/>
      <c r="C270" s="16"/>
      <c r="D270" s="13"/>
      <c r="E270" s="13"/>
      <c r="F270" s="17" t="str">
        <f>IF(B270="","",IFERROR(VLOOKUP(B270,'Reel Register'!$B$4:$K$203,10,FALSE),""))</f>
        <v/>
      </c>
      <c r="G270" s="17" t="str">
        <f>IF(B270="","",IFERROR(VLOOKUP(B270,'Reel Register'!$B$4:$L$203,11,FALSE),""))</f>
        <v/>
      </c>
    </row>
    <row r="271" spans="1:7" x14ac:dyDescent="0.45">
      <c r="A271" s="13"/>
      <c r="B271" s="13"/>
      <c r="C271" s="16"/>
      <c r="D271" s="13"/>
      <c r="E271" s="13"/>
      <c r="F271" s="17" t="str">
        <f>IF(B271="","",IFERROR(VLOOKUP(B271,'Reel Register'!$B$4:$K$203,10,FALSE),""))</f>
        <v/>
      </c>
      <c r="G271" s="17" t="str">
        <f>IF(B271="","",IFERROR(VLOOKUP(B271,'Reel Register'!$B$4:$L$203,11,FALSE),""))</f>
        <v/>
      </c>
    </row>
    <row r="272" spans="1:7" x14ac:dyDescent="0.45">
      <c r="A272" s="13"/>
      <c r="B272" s="13"/>
      <c r="C272" s="16"/>
      <c r="D272" s="13"/>
      <c r="E272" s="13"/>
      <c r="F272" s="17" t="str">
        <f>IF(B272="","",IFERROR(VLOOKUP(B272,'Reel Register'!$B$4:$K$203,10,FALSE),""))</f>
        <v/>
      </c>
      <c r="G272" s="17" t="str">
        <f>IF(B272="","",IFERROR(VLOOKUP(B272,'Reel Register'!$B$4:$L$203,11,FALSE),""))</f>
        <v/>
      </c>
    </row>
    <row r="273" spans="1:7" x14ac:dyDescent="0.45">
      <c r="A273" s="13"/>
      <c r="B273" s="13"/>
      <c r="C273" s="16"/>
      <c r="D273" s="13"/>
      <c r="E273" s="13"/>
      <c r="F273" s="17" t="str">
        <f>IF(B273="","",IFERROR(VLOOKUP(B273,'Reel Register'!$B$4:$K$203,10,FALSE),""))</f>
        <v/>
      </c>
      <c r="G273" s="17" t="str">
        <f>IF(B273="","",IFERROR(VLOOKUP(B273,'Reel Register'!$B$4:$L$203,11,FALSE),""))</f>
        <v/>
      </c>
    </row>
    <row r="274" spans="1:7" x14ac:dyDescent="0.45">
      <c r="A274" s="13"/>
      <c r="B274" s="13"/>
      <c r="C274" s="16"/>
      <c r="D274" s="13"/>
      <c r="E274" s="13"/>
      <c r="F274" s="17" t="str">
        <f>IF(B274="","",IFERROR(VLOOKUP(B274,'Reel Register'!$B$4:$K$203,10,FALSE),""))</f>
        <v/>
      </c>
      <c r="G274" s="17" t="str">
        <f>IF(B274="","",IFERROR(VLOOKUP(B274,'Reel Register'!$B$4:$L$203,11,FALSE),""))</f>
        <v/>
      </c>
    </row>
    <row r="275" spans="1:7" x14ac:dyDescent="0.45">
      <c r="A275" s="13"/>
      <c r="B275" s="13"/>
      <c r="C275" s="16"/>
      <c r="D275" s="13"/>
      <c r="E275" s="13"/>
      <c r="F275" s="17" t="str">
        <f>IF(B275="","",IFERROR(VLOOKUP(B275,'Reel Register'!$B$4:$K$203,10,FALSE),""))</f>
        <v/>
      </c>
      <c r="G275" s="17" t="str">
        <f>IF(B275="","",IFERROR(VLOOKUP(B275,'Reel Register'!$B$4:$L$203,11,FALSE),""))</f>
        <v/>
      </c>
    </row>
    <row r="276" spans="1:7" x14ac:dyDescent="0.45">
      <c r="A276" s="13"/>
      <c r="B276" s="13"/>
      <c r="C276" s="16"/>
      <c r="D276" s="13"/>
      <c r="E276" s="13"/>
      <c r="F276" s="17" t="str">
        <f>IF(B276="","",IFERROR(VLOOKUP(B276,'Reel Register'!$B$4:$K$203,10,FALSE),""))</f>
        <v/>
      </c>
      <c r="G276" s="17" t="str">
        <f>IF(B276="","",IFERROR(VLOOKUP(B276,'Reel Register'!$B$4:$L$203,11,FALSE),""))</f>
        <v/>
      </c>
    </row>
    <row r="277" spans="1:7" x14ac:dyDescent="0.45">
      <c r="A277" s="13"/>
      <c r="B277" s="13"/>
      <c r="C277" s="16"/>
      <c r="D277" s="13"/>
      <c r="E277" s="13"/>
      <c r="F277" s="17" t="str">
        <f>IF(B277="","",IFERROR(VLOOKUP(B277,'Reel Register'!$B$4:$K$203,10,FALSE),""))</f>
        <v/>
      </c>
      <c r="G277" s="17" t="str">
        <f>IF(B277="","",IFERROR(VLOOKUP(B277,'Reel Register'!$B$4:$L$203,11,FALSE),""))</f>
        <v/>
      </c>
    </row>
    <row r="278" spans="1:7" x14ac:dyDescent="0.45">
      <c r="A278" s="13"/>
      <c r="B278" s="13"/>
      <c r="C278" s="16"/>
      <c r="D278" s="13"/>
      <c r="E278" s="13"/>
      <c r="F278" s="17" t="str">
        <f>IF(B278="","",IFERROR(VLOOKUP(B278,'Reel Register'!$B$4:$K$203,10,FALSE),""))</f>
        <v/>
      </c>
      <c r="G278" s="17" t="str">
        <f>IF(B278="","",IFERROR(VLOOKUP(B278,'Reel Register'!$B$4:$L$203,11,FALSE),""))</f>
        <v/>
      </c>
    </row>
    <row r="279" spans="1:7" x14ac:dyDescent="0.45">
      <c r="A279" s="13"/>
      <c r="B279" s="13"/>
      <c r="C279" s="16"/>
      <c r="D279" s="13"/>
      <c r="E279" s="13"/>
      <c r="F279" s="17" t="str">
        <f>IF(B279="","",IFERROR(VLOOKUP(B279,'Reel Register'!$B$4:$K$203,10,FALSE),""))</f>
        <v/>
      </c>
      <c r="G279" s="17" t="str">
        <f>IF(B279="","",IFERROR(VLOOKUP(B279,'Reel Register'!$B$4:$L$203,11,FALSE),""))</f>
        <v/>
      </c>
    </row>
    <row r="280" spans="1:7" x14ac:dyDescent="0.45">
      <c r="A280" s="13"/>
      <c r="B280" s="13"/>
      <c r="C280" s="16"/>
      <c r="D280" s="13"/>
      <c r="E280" s="13"/>
      <c r="F280" s="17" t="str">
        <f>IF(B280="","",IFERROR(VLOOKUP(B280,'Reel Register'!$B$4:$K$203,10,FALSE),""))</f>
        <v/>
      </c>
      <c r="G280" s="17" t="str">
        <f>IF(B280="","",IFERROR(VLOOKUP(B280,'Reel Register'!$B$4:$L$203,11,FALSE),""))</f>
        <v/>
      </c>
    </row>
    <row r="281" spans="1:7" x14ac:dyDescent="0.45">
      <c r="A281" s="13"/>
      <c r="B281" s="13"/>
      <c r="C281" s="16"/>
      <c r="D281" s="13"/>
      <c r="E281" s="13"/>
      <c r="F281" s="17" t="str">
        <f>IF(B281="","",IFERROR(VLOOKUP(B281,'Reel Register'!$B$4:$K$203,10,FALSE),""))</f>
        <v/>
      </c>
      <c r="G281" s="17" t="str">
        <f>IF(B281="","",IFERROR(VLOOKUP(B281,'Reel Register'!$B$4:$L$203,11,FALSE),""))</f>
        <v/>
      </c>
    </row>
    <row r="282" spans="1:7" x14ac:dyDescent="0.45">
      <c r="A282" s="13"/>
      <c r="B282" s="13"/>
      <c r="C282" s="16"/>
      <c r="D282" s="13"/>
      <c r="E282" s="13"/>
      <c r="F282" s="17" t="str">
        <f>IF(B282="","",IFERROR(VLOOKUP(B282,'Reel Register'!$B$4:$K$203,10,FALSE),""))</f>
        <v/>
      </c>
      <c r="G282" s="17" t="str">
        <f>IF(B282="","",IFERROR(VLOOKUP(B282,'Reel Register'!$B$4:$L$203,11,FALSE),""))</f>
        <v/>
      </c>
    </row>
    <row r="283" spans="1:7" x14ac:dyDescent="0.45">
      <c r="A283" s="13"/>
      <c r="B283" s="13"/>
      <c r="C283" s="16"/>
      <c r="D283" s="13"/>
      <c r="E283" s="13"/>
      <c r="F283" s="17" t="str">
        <f>IF(B283="","",IFERROR(VLOOKUP(B283,'Reel Register'!$B$4:$K$203,10,FALSE),""))</f>
        <v/>
      </c>
      <c r="G283" s="17" t="str">
        <f>IF(B283="","",IFERROR(VLOOKUP(B283,'Reel Register'!$B$4:$L$203,11,FALSE),""))</f>
        <v/>
      </c>
    </row>
    <row r="284" spans="1:7" x14ac:dyDescent="0.45">
      <c r="A284" s="13"/>
      <c r="B284" s="13"/>
      <c r="C284" s="16"/>
      <c r="D284" s="13"/>
      <c r="E284" s="13"/>
      <c r="F284" s="17" t="str">
        <f>IF(B284="","",IFERROR(VLOOKUP(B284,'Reel Register'!$B$4:$K$203,10,FALSE),""))</f>
        <v/>
      </c>
      <c r="G284" s="17" t="str">
        <f>IF(B284="","",IFERROR(VLOOKUP(B284,'Reel Register'!$B$4:$L$203,11,FALSE),""))</f>
        <v/>
      </c>
    </row>
    <row r="285" spans="1:7" x14ac:dyDescent="0.45">
      <c r="A285" s="13"/>
      <c r="B285" s="13"/>
      <c r="C285" s="16"/>
      <c r="D285" s="13"/>
      <c r="E285" s="13"/>
      <c r="F285" s="17" t="str">
        <f>IF(B285="","",IFERROR(VLOOKUP(B285,'Reel Register'!$B$4:$K$203,10,FALSE),""))</f>
        <v/>
      </c>
      <c r="G285" s="17" t="str">
        <f>IF(B285="","",IFERROR(VLOOKUP(B285,'Reel Register'!$B$4:$L$203,11,FALSE),""))</f>
        <v/>
      </c>
    </row>
    <row r="286" spans="1:7" x14ac:dyDescent="0.45">
      <c r="A286" s="13"/>
      <c r="B286" s="13"/>
      <c r="C286" s="16"/>
      <c r="D286" s="13"/>
      <c r="E286" s="13"/>
      <c r="F286" s="17" t="str">
        <f>IF(B286="","",IFERROR(VLOOKUP(B286,'Reel Register'!$B$4:$K$203,10,FALSE),""))</f>
        <v/>
      </c>
      <c r="G286" s="17" t="str">
        <f>IF(B286="","",IFERROR(VLOOKUP(B286,'Reel Register'!$B$4:$L$203,11,FALSE),""))</f>
        <v/>
      </c>
    </row>
    <row r="287" spans="1:7" x14ac:dyDescent="0.45">
      <c r="A287" s="13"/>
      <c r="B287" s="13"/>
      <c r="C287" s="16"/>
      <c r="D287" s="13"/>
      <c r="E287" s="13"/>
      <c r="F287" s="17" t="str">
        <f>IF(B287="","",IFERROR(VLOOKUP(B287,'Reel Register'!$B$4:$K$203,10,FALSE),""))</f>
        <v/>
      </c>
      <c r="G287" s="17" t="str">
        <f>IF(B287="","",IFERROR(VLOOKUP(B287,'Reel Register'!$B$4:$L$203,11,FALSE),""))</f>
        <v/>
      </c>
    </row>
    <row r="288" spans="1:7" x14ac:dyDescent="0.45">
      <c r="A288" s="13"/>
      <c r="B288" s="13"/>
      <c r="C288" s="16"/>
      <c r="D288" s="13"/>
      <c r="E288" s="13"/>
      <c r="F288" s="17" t="str">
        <f>IF(B288="","",IFERROR(VLOOKUP(B288,'Reel Register'!$B$4:$K$203,10,FALSE),""))</f>
        <v/>
      </c>
      <c r="G288" s="17" t="str">
        <f>IF(B288="","",IFERROR(VLOOKUP(B288,'Reel Register'!$B$4:$L$203,11,FALSE),""))</f>
        <v/>
      </c>
    </row>
    <row r="289" spans="1:7" x14ac:dyDescent="0.45">
      <c r="A289" s="13"/>
      <c r="B289" s="13"/>
      <c r="C289" s="16"/>
      <c r="D289" s="13"/>
      <c r="E289" s="13"/>
      <c r="F289" s="17" t="str">
        <f>IF(B289="","",IFERROR(VLOOKUP(B289,'Reel Register'!$B$4:$K$203,10,FALSE),""))</f>
        <v/>
      </c>
      <c r="G289" s="17" t="str">
        <f>IF(B289="","",IFERROR(VLOOKUP(B289,'Reel Register'!$B$4:$L$203,11,FALSE),""))</f>
        <v/>
      </c>
    </row>
    <row r="290" spans="1:7" x14ac:dyDescent="0.45">
      <c r="A290" s="13"/>
      <c r="B290" s="13"/>
      <c r="C290" s="16"/>
      <c r="D290" s="13"/>
      <c r="E290" s="13"/>
      <c r="F290" s="17" t="str">
        <f>IF(B290="","",IFERROR(VLOOKUP(B290,'Reel Register'!$B$4:$K$203,10,FALSE),""))</f>
        <v/>
      </c>
      <c r="G290" s="17" t="str">
        <f>IF(B290="","",IFERROR(VLOOKUP(B290,'Reel Register'!$B$4:$L$203,11,FALSE),""))</f>
        <v/>
      </c>
    </row>
    <row r="291" spans="1:7" x14ac:dyDescent="0.45">
      <c r="A291" s="13"/>
      <c r="B291" s="13"/>
      <c r="C291" s="16"/>
      <c r="D291" s="13"/>
      <c r="E291" s="13"/>
      <c r="F291" s="17" t="str">
        <f>IF(B291="","",IFERROR(VLOOKUP(B291,'Reel Register'!$B$4:$K$203,10,FALSE),""))</f>
        <v/>
      </c>
      <c r="G291" s="17" t="str">
        <f>IF(B291="","",IFERROR(VLOOKUP(B291,'Reel Register'!$B$4:$L$203,11,FALSE),""))</f>
        <v/>
      </c>
    </row>
    <row r="292" spans="1:7" x14ac:dyDescent="0.45">
      <c r="A292" s="13"/>
      <c r="B292" s="13"/>
      <c r="C292" s="16"/>
      <c r="D292" s="13"/>
      <c r="E292" s="13"/>
      <c r="F292" s="17" t="str">
        <f>IF(B292="","",IFERROR(VLOOKUP(B292,'Reel Register'!$B$4:$K$203,10,FALSE),""))</f>
        <v/>
      </c>
      <c r="G292" s="17" t="str">
        <f>IF(B292="","",IFERROR(VLOOKUP(B292,'Reel Register'!$B$4:$L$203,11,FALSE),""))</f>
        <v/>
      </c>
    </row>
    <row r="293" spans="1:7" x14ac:dyDescent="0.45">
      <c r="A293" s="13"/>
      <c r="B293" s="13"/>
      <c r="C293" s="16"/>
      <c r="D293" s="13"/>
      <c r="E293" s="13"/>
      <c r="F293" s="17" t="str">
        <f>IF(B293="","",IFERROR(VLOOKUP(B293,'Reel Register'!$B$4:$K$203,10,FALSE),""))</f>
        <v/>
      </c>
      <c r="G293" s="17" t="str">
        <f>IF(B293="","",IFERROR(VLOOKUP(B293,'Reel Register'!$B$4:$L$203,11,FALSE),""))</f>
        <v/>
      </c>
    </row>
    <row r="294" spans="1:7" x14ac:dyDescent="0.45">
      <c r="A294" s="13"/>
      <c r="B294" s="13"/>
      <c r="C294" s="16"/>
      <c r="D294" s="13"/>
      <c r="E294" s="13"/>
      <c r="F294" s="17" t="str">
        <f>IF(B294="","",IFERROR(VLOOKUP(B294,'Reel Register'!$B$4:$K$203,10,FALSE),""))</f>
        <v/>
      </c>
      <c r="G294" s="17" t="str">
        <f>IF(B294="","",IFERROR(VLOOKUP(B294,'Reel Register'!$B$4:$L$203,11,FALSE),""))</f>
        <v/>
      </c>
    </row>
    <row r="295" spans="1:7" x14ac:dyDescent="0.45">
      <c r="A295" s="13"/>
      <c r="B295" s="13"/>
      <c r="C295" s="16"/>
      <c r="D295" s="13"/>
      <c r="E295" s="13"/>
      <c r="F295" s="17" t="str">
        <f>IF(B295="","",IFERROR(VLOOKUP(B295,'Reel Register'!$B$4:$K$203,10,FALSE),""))</f>
        <v/>
      </c>
      <c r="G295" s="17" t="str">
        <f>IF(B295="","",IFERROR(VLOOKUP(B295,'Reel Register'!$B$4:$L$203,11,FALSE),""))</f>
        <v/>
      </c>
    </row>
    <row r="296" spans="1:7" x14ac:dyDescent="0.45">
      <c r="A296" s="13"/>
      <c r="B296" s="13"/>
      <c r="C296" s="16"/>
      <c r="D296" s="13"/>
      <c r="E296" s="13"/>
      <c r="F296" s="17" t="str">
        <f>IF(B296="","",IFERROR(VLOOKUP(B296,'Reel Register'!$B$4:$K$203,10,FALSE),""))</f>
        <v/>
      </c>
      <c r="G296" s="17" t="str">
        <f>IF(B296="","",IFERROR(VLOOKUP(B296,'Reel Register'!$B$4:$L$203,11,FALSE),""))</f>
        <v/>
      </c>
    </row>
    <row r="297" spans="1:7" x14ac:dyDescent="0.45">
      <c r="A297" s="13"/>
      <c r="B297" s="13"/>
      <c r="C297" s="16"/>
      <c r="D297" s="13"/>
      <c r="E297" s="13"/>
      <c r="F297" s="17" t="str">
        <f>IF(B297="","",IFERROR(VLOOKUP(B297,'Reel Register'!$B$4:$K$203,10,FALSE),""))</f>
        <v/>
      </c>
      <c r="G297" s="17" t="str">
        <f>IF(B297="","",IFERROR(VLOOKUP(B297,'Reel Register'!$B$4:$L$203,11,FALSE),""))</f>
        <v/>
      </c>
    </row>
    <row r="298" spans="1:7" x14ac:dyDescent="0.45">
      <c r="A298" s="13"/>
      <c r="B298" s="13"/>
      <c r="C298" s="16"/>
      <c r="D298" s="13"/>
      <c r="E298" s="13"/>
      <c r="F298" s="17" t="str">
        <f>IF(B298="","",IFERROR(VLOOKUP(B298,'Reel Register'!$B$4:$K$203,10,FALSE),""))</f>
        <v/>
      </c>
      <c r="G298" s="17" t="str">
        <f>IF(B298="","",IFERROR(VLOOKUP(B298,'Reel Register'!$B$4:$L$203,11,FALSE),""))</f>
        <v/>
      </c>
    </row>
    <row r="299" spans="1:7" x14ac:dyDescent="0.45">
      <c r="A299" s="13"/>
      <c r="B299" s="13"/>
      <c r="C299" s="16"/>
      <c r="D299" s="13"/>
      <c r="E299" s="13"/>
      <c r="F299" s="17" t="str">
        <f>IF(B299="","",IFERROR(VLOOKUP(B299,'Reel Register'!$B$4:$K$203,10,FALSE),""))</f>
        <v/>
      </c>
      <c r="G299" s="17" t="str">
        <f>IF(B299="","",IFERROR(VLOOKUP(B299,'Reel Register'!$B$4:$L$203,11,FALSE),""))</f>
        <v/>
      </c>
    </row>
    <row r="300" spans="1:7" x14ac:dyDescent="0.45">
      <c r="A300" s="13"/>
      <c r="B300" s="13"/>
      <c r="C300" s="16"/>
      <c r="D300" s="13"/>
      <c r="E300" s="13"/>
      <c r="F300" s="17" t="str">
        <f>IF(B300="","",IFERROR(VLOOKUP(B300,'Reel Register'!$B$4:$K$203,10,FALSE),""))</f>
        <v/>
      </c>
      <c r="G300" s="17" t="str">
        <f>IF(B300="","",IFERROR(VLOOKUP(B300,'Reel Register'!$B$4:$L$203,11,FALSE),""))</f>
        <v/>
      </c>
    </row>
    <row r="301" spans="1:7" x14ac:dyDescent="0.45">
      <c r="A301" s="13"/>
      <c r="B301" s="13"/>
      <c r="C301" s="16"/>
      <c r="D301" s="13"/>
      <c r="E301" s="13"/>
      <c r="F301" s="17" t="str">
        <f>IF(B301="","",IFERROR(VLOOKUP(B301,'Reel Register'!$B$4:$K$203,10,FALSE),""))</f>
        <v/>
      </c>
      <c r="G301" s="17" t="str">
        <f>IF(B301="","",IFERROR(VLOOKUP(B301,'Reel Register'!$B$4:$L$203,11,FALSE),""))</f>
        <v/>
      </c>
    </row>
    <row r="302" spans="1:7" x14ac:dyDescent="0.45">
      <c r="A302" s="13"/>
      <c r="B302" s="13"/>
      <c r="C302" s="16"/>
      <c r="D302" s="13"/>
      <c r="E302" s="13"/>
      <c r="F302" s="17" t="str">
        <f>IF(B302="","",IFERROR(VLOOKUP(B302,'Reel Register'!$B$4:$K$203,10,FALSE),""))</f>
        <v/>
      </c>
      <c r="G302" s="17" t="str">
        <f>IF(B302="","",IFERROR(VLOOKUP(B302,'Reel Register'!$B$4:$L$203,11,FALSE),""))</f>
        <v/>
      </c>
    </row>
    <row r="303" spans="1:7" x14ac:dyDescent="0.45">
      <c r="A303" s="13"/>
      <c r="B303" s="13"/>
      <c r="C303" s="16"/>
      <c r="D303" s="13"/>
      <c r="E303" s="13"/>
      <c r="F303" s="17" t="str">
        <f>IF(B303="","",IFERROR(VLOOKUP(B303,'Reel Register'!$B$4:$K$203,10,FALSE),""))</f>
        <v/>
      </c>
      <c r="G303" s="17" t="str">
        <f>IF(B303="","",IFERROR(VLOOKUP(B303,'Reel Register'!$B$4:$L$203,11,FALSE),""))</f>
        <v/>
      </c>
    </row>
    <row r="304" spans="1:7" x14ac:dyDescent="0.45">
      <c r="A304" s="13"/>
      <c r="B304" s="13"/>
      <c r="C304" s="16"/>
      <c r="D304" s="13"/>
      <c r="E304" s="13"/>
      <c r="F304" s="17" t="str">
        <f>IF(B304="","",IFERROR(VLOOKUP(B304,'Reel Register'!$B$4:$K$203,10,FALSE),""))</f>
        <v/>
      </c>
      <c r="G304" s="17" t="str">
        <f>IF(B304="","",IFERROR(VLOOKUP(B304,'Reel Register'!$B$4:$L$203,11,FALSE),""))</f>
        <v/>
      </c>
    </row>
    <row r="305" spans="1:7" x14ac:dyDescent="0.45">
      <c r="A305" s="13"/>
      <c r="B305" s="13"/>
      <c r="C305" s="16"/>
      <c r="D305" s="13"/>
      <c r="E305" s="13"/>
      <c r="F305" s="17" t="str">
        <f>IF(B305="","",IFERROR(VLOOKUP(B305,'Reel Register'!$B$4:$K$203,10,FALSE),""))</f>
        <v/>
      </c>
      <c r="G305" s="17" t="str">
        <f>IF(B305="","",IFERROR(VLOOKUP(B305,'Reel Register'!$B$4:$L$203,11,FALSE),""))</f>
        <v/>
      </c>
    </row>
    <row r="306" spans="1:7" x14ac:dyDescent="0.45">
      <c r="A306" s="13"/>
      <c r="B306" s="13"/>
      <c r="C306" s="16"/>
      <c r="D306" s="13"/>
      <c r="E306" s="13"/>
      <c r="F306" s="17" t="str">
        <f>IF(B306="","",IFERROR(VLOOKUP(B306,'Reel Register'!$B$4:$K$203,10,FALSE),""))</f>
        <v/>
      </c>
      <c r="G306" s="17" t="str">
        <f>IF(B306="","",IFERROR(VLOOKUP(B306,'Reel Register'!$B$4:$L$203,11,FALSE),""))</f>
        <v/>
      </c>
    </row>
    <row r="307" spans="1:7" x14ac:dyDescent="0.45">
      <c r="A307" s="13"/>
      <c r="B307" s="13"/>
      <c r="C307" s="16"/>
      <c r="D307" s="13"/>
      <c r="E307" s="13"/>
      <c r="F307" s="17" t="str">
        <f>IF(B307="","",IFERROR(VLOOKUP(B307,'Reel Register'!$B$4:$K$203,10,FALSE),""))</f>
        <v/>
      </c>
      <c r="G307" s="17" t="str">
        <f>IF(B307="","",IFERROR(VLOOKUP(B307,'Reel Register'!$B$4:$L$203,11,FALSE),""))</f>
        <v/>
      </c>
    </row>
    <row r="308" spans="1:7" x14ac:dyDescent="0.45">
      <c r="A308" s="13"/>
      <c r="B308" s="13"/>
      <c r="C308" s="16"/>
      <c r="D308" s="13"/>
      <c r="E308" s="13"/>
      <c r="F308" s="17" t="str">
        <f>IF(B308="","",IFERROR(VLOOKUP(B308,'Reel Register'!$B$4:$K$203,10,FALSE),""))</f>
        <v/>
      </c>
      <c r="G308" s="17" t="str">
        <f>IF(B308="","",IFERROR(VLOOKUP(B308,'Reel Register'!$B$4:$L$203,11,FALSE),""))</f>
        <v/>
      </c>
    </row>
    <row r="309" spans="1:7" x14ac:dyDescent="0.45">
      <c r="A309" s="13"/>
      <c r="B309" s="13"/>
      <c r="C309" s="16"/>
      <c r="D309" s="13"/>
      <c r="E309" s="13"/>
      <c r="F309" s="17" t="str">
        <f>IF(B309="","",IFERROR(VLOOKUP(B309,'Reel Register'!$B$4:$K$203,10,FALSE),""))</f>
        <v/>
      </c>
      <c r="G309" s="17" t="str">
        <f>IF(B309="","",IFERROR(VLOOKUP(B309,'Reel Register'!$B$4:$L$203,11,FALSE),""))</f>
        <v/>
      </c>
    </row>
    <row r="310" spans="1:7" x14ac:dyDescent="0.45">
      <c r="A310" s="13"/>
      <c r="B310" s="13"/>
      <c r="C310" s="16"/>
      <c r="D310" s="13"/>
      <c r="E310" s="13"/>
      <c r="F310" s="17" t="str">
        <f>IF(B310="","",IFERROR(VLOOKUP(B310,'Reel Register'!$B$4:$K$203,10,FALSE),""))</f>
        <v/>
      </c>
      <c r="G310" s="17" t="str">
        <f>IF(B310="","",IFERROR(VLOOKUP(B310,'Reel Register'!$B$4:$L$203,11,FALSE),""))</f>
        <v/>
      </c>
    </row>
    <row r="311" spans="1:7" x14ac:dyDescent="0.45">
      <c r="A311" s="13"/>
      <c r="B311" s="13"/>
      <c r="C311" s="16"/>
      <c r="D311" s="13"/>
      <c r="E311" s="13"/>
      <c r="F311" s="17" t="str">
        <f>IF(B311="","",IFERROR(VLOOKUP(B311,'Reel Register'!$B$4:$K$203,10,FALSE),""))</f>
        <v/>
      </c>
      <c r="G311" s="17" t="str">
        <f>IF(B311="","",IFERROR(VLOOKUP(B311,'Reel Register'!$B$4:$L$203,11,FALSE),""))</f>
        <v/>
      </c>
    </row>
    <row r="312" spans="1:7" x14ac:dyDescent="0.45">
      <c r="A312" s="13"/>
      <c r="B312" s="13"/>
      <c r="C312" s="16"/>
      <c r="D312" s="13"/>
      <c r="E312" s="13"/>
      <c r="F312" s="17" t="str">
        <f>IF(B312="","",IFERROR(VLOOKUP(B312,'Reel Register'!$B$4:$K$203,10,FALSE),""))</f>
        <v/>
      </c>
      <c r="G312" s="17" t="str">
        <f>IF(B312="","",IFERROR(VLOOKUP(B312,'Reel Register'!$B$4:$L$203,11,FALSE),""))</f>
        <v/>
      </c>
    </row>
    <row r="313" spans="1:7" x14ac:dyDescent="0.45">
      <c r="A313" s="13"/>
      <c r="B313" s="13"/>
      <c r="C313" s="16"/>
      <c r="D313" s="13"/>
      <c r="E313" s="13"/>
      <c r="F313" s="17" t="str">
        <f>IF(B313="","",IFERROR(VLOOKUP(B313,'Reel Register'!$B$4:$K$203,10,FALSE),""))</f>
        <v/>
      </c>
      <c r="G313" s="17" t="str">
        <f>IF(B313="","",IFERROR(VLOOKUP(B313,'Reel Register'!$B$4:$L$203,11,FALSE),""))</f>
        <v/>
      </c>
    </row>
    <row r="314" spans="1:7" x14ac:dyDescent="0.45">
      <c r="A314" s="13"/>
      <c r="B314" s="13"/>
      <c r="C314" s="16"/>
      <c r="D314" s="13"/>
      <c r="E314" s="13"/>
      <c r="F314" s="17" t="str">
        <f>IF(B314="","",IFERROR(VLOOKUP(B314,'Reel Register'!$B$4:$K$203,10,FALSE),""))</f>
        <v/>
      </c>
      <c r="G314" s="17" t="str">
        <f>IF(B314="","",IFERROR(VLOOKUP(B314,'Reel Register'!$B$4:$L$203,11,FALSE),""))</f>
        <v/>
      </c>
    </row>
    <row r="315" spans="1:7" x14ac:dyDescent="0.45">
      <c r="A315" s="13"/>
      <c r="B315" s="13"/>
      <c r="C315" s="16"/>
      <c r="D315" s="13"/>
      <c r="E315" s="13"/>
      <c r="F315" s="17" t="str">
        <f>IF(B315="","",IFERROR(VLOOKUP(B315,'Reel Register'!$B$4:$K$203,10,FALSE),""))</f>
        <v/>
      </c>
      <c r="G315" s="17" t="str">
        <f>IF(B315="","",IFERROR(VLOOKUP(B315,'Reel Register'!$B$4:$L$203,11,FALSE),""))</f>
        <v/>
      </c>
    </row>
    <row r="316" spans="1:7" x14ac:dyDescent="0.45">
      <c r="A316" s="13"/>
      <c r="B316" s="13"/>
      <c r="C316" s="16"/>
      <c r="D316" s="13"/>
      <c r="E316" s="13"/>
      <c r="F316" s="17" t="str">
        <f>IF(B316="","",IFERROR(VLOOKUP(B316,'Reel Register'!$B$4:$K$203,10,FALSE),""))</f>
        <v/>
      </c>
      <c r="G316" s="17" t="str">
        <f>IF(B316="","",IFERROR(VLOOKUP(B316,'Reel Register'!$B$4:$L$203,11,FALSE),""))</f>
        <v/>
      </c>
    </row>
    <row r="317" spans="1:7" x14ac:dyDescent="0.45">
      <c r="A317" s="13"/>
      <c r="B317" s="13"/>
      <c r="C317" s="16"/>
      <c r="D317" s="13"/>
      <c r="E317" s="13"/>
      <c r="F317" s="17" t="str">
        <f>IF(B317="","",IFERROR(VLOOKUP(B317,'Reel Register'!$B$4:$K$203,10,FALSE),""))</f>
        <v/>
      </c>
      <c r="G317" s="17" t="str">
        <f>IF(B317="","",IFERROR(VLOOKUP(B317,'Reel Register'!$B$4:$L$203,11,FALSE),""))</f>
        <v/>
      </c>
    </row>
    <row r="318" spans="1:7" x14ac:dyDescent="0.45">
      <c r="A318" s="13"/>
      <c r="B318" s="13"/>
      <c r="C318" s="16"/>
      <c r="D318" s="13"/>
      <c r="E318" s="13"/>
      <c r="F318" s="17" t="str">
        <f>IF(B318="","",IFERROR(VLOOKUP(B318,'Reel Register'!$B$4:$K$203,10,FALSE),""))</f>
        <v/>
      </c>
      <c r="G318" s="17" t="str">
        <f>IF(B318="","",IFERROR(VLOOKUP(B318,'Reel Register'!$B$4:$L$203,11,FALSE),""))</f>
        <v/>
      </c>
    </row>
    <row r="319" spans="1:7" x14ac:dyDescent="0.45">
      <c r="A319" s="13"/>
      <c r="B319" s="13"/>
      <c r="C319" s="16"/>
      <c r="D319" s="13"/>
      <c r="E319" s="13"/>
      <c r="F319" s="17" t="str">
        <f>IF(B319="","",IFERROR(VLOOKUP(B319,'Reel Register'!$B$4:$K$203,10,FALSE),""))</f>
        <v/>
      </c>
      <c r="G319" s="17" t="str">
        <f>IF(B319="","",IFERROR(VLOOKUP(B319,'Reel Register'!$B$4:$L$203,11,FALSE),""))</f>
        <v/>
      </c>
    </row>
    <row r="320" spans="1:7" x14ac:dyDescent="0.45">
      <c r="A320" s="13"/>
      <c r="B320" s="13"/>
      <c r="C320" s="16"/>
      <c r="D320" s="13"/>
      <c r="E320" s="13"/>
      <c r="F320" s="17" t="str">
        <f>IF(B320="","",IFERROR(VLOOKUP(B320,'Reel Register'!$B$4:$K$203,10,FALSE),""))</f>
        <v/>
      </c>
      <c r="G320" s="17" t="str">
        <f>IF(B320="","",IFERROR(VLOOKUP(B320,'Reel Register'!$B$4:$L$203,11,FALSE),""))</f>
        <v/>
      </c>
    </row>
    <row r="321" spans="1:7" x14ac:dyDescent="0.45">
      <c r="A321" s="13"/>
      <c r="B321" s="13"/>
      <c r="C321" s="16"/>
      <c r="D321" s="13"/>
      <c r="E321" s="13"/>
      <c r="F321" s="17" t="str">
        <f>IF(B321="","",IFERROR(VLOOKUP(B321,'Reel Register'!$B$4:$K$203,10,FALSE),""))</f>
        <v/>
      </c>
      <c r="G321" s="17" t="str">
        <f>IF(B321="","",IFERROR(VLOOKUP(B321,'Reel Register'!$B$4:$L$203,11,FALSE),""))</f>
        <v/>
      </c>
    </row>
    <row r="322" spans="1:7" x14ac:dyDescent="0.45">
      <c r="A322" s="13"/>
      <c r="B322" s="13"/>
      <c r="C322" s="16"/>
      <c r="D322" s="13"/>
      <c r="E322" s="13"/>
      <c r="F322" s="17" t="str">
        <f>IF(B322="","",IFERROR(VLOOKUP(B322,'Reel Register'!$B$4:$K$203,10,FALSE),""))</f>
        <v/>
      </c>
      <c r="G322" s="17" t="str">
        <f>IF(B322="","",IFERROR(VLOOKUP(B322,'Reel Register'!$B$4:$L$203,11,FALSE),""))</f>
        <v/>
      </c>
    </row>
    <row r="323" spans="1:7" x14ac:dyDescent="0.45">
      <c r="A323" s="13"/>
      <c r="B323" s="13"/>
      <c r="C323" s="16"/>
      <c r="D323" s="13"/>
      <c r="E323" s="13"/>
      <c r="F323" s="17" t="str">
        <f>IF(B323="","",IFERROR(VLOOKUP(B323,'Reel Register'!$B$4:$K$203,10,FALSE),""))</f>
        <v/>
      </c>
      <c r="G323" s="17" t="str">
        <f>IF(B323="","",IFERROR(VLOOKUP(B323,'Reel Register'!$B$4:$L$203,11,FALSE),""))</f>
        <v/>
      </c>
    </row>
    <row r="324" spans="1:7" x14ac:dyDescent="0.45">
      <c r="A324" s="13"/>
      <c r="B324" s="13"/>
      <c r="C324" s="16"/>
      <c r="D324" s="13"/>
      <c r="E324" s="13"/>
      <c r="F324" s="17" t="str">
        <f>IF(B324="","",IFERROR(VLOOKUP(B324,'Reel Register'!$B$4:$K$203,10,FALSE),""))</f>
        <v/>
      </c>
      <c r="G324" s="17" t="str">
        <f>IF(B324="","",IFERROR(VLOOKUP(B324,'Reel Register'!$B$4:$L$203,11,FALSE),""))</f>
        <v/>
      </c>
    </row>
    <row r="325" spans="1:7" x14ac:dyDescent="0.45">
      <c r="A325" s="13"/>
      <c r="B325" s="13"/>
      <c r="C325" s="16"/>
      <c r="D325" s="13"/>
      <c r="E325" s="13"/>
      <c r="F325" s="17" t="str">
        <f>IF(B325="","",IFERROR(VLOOKUP(B325,'Reel Register'!$B$4:$K$203,10,FALSE),""))</f>
        <v/>
      </c>
      <c r="G325" s="17" t="str">
        <f>IF(B325="","",IFERROR(VLOOKUP(B325,'Reel Register'!$B$4:$L$203,11,FALSE),""))</f>
        <v/>
      </c>
    </row>
    <row r="326" spans="1:7" x14ac:dyDescent="0.45">
      <c r="A326" s="13"/>
      <c r="B326" s="13"/>
      <c r="C326" s="16"/>
      <c r="D326" s="13"/>
      <c r="E326" s="13"/>
      <c r="F326" s="17" t="str">
        <f>IF(B326="","",IFERROR(VLOOKUP(B326,'Reel Register'!$B$4:$K$203,10,FALSE),""))</f>
        <v/>
      </c>
      <c r="G326" s="17" t="str">
        <f>IF(B326="","",IFERROR(VLOOKUP(B326,'Reel Register'!$B$4:$L$203,11,FALSE),""))</f>
        <v/>
      </c>
    </row>
    <row r="327" spans="1:7" x14ac:dyDescent="0.45">
      <c r="A327" s="13"/>
      <c r="B327" s="13"/>
      <c r="C327" s="16"/>
      <c r="D327" s="13"/>
      <c r="E327" s="13"/>
      <c r="F327" s="17" t="str">
        <f>IF(B327="","",IFERROR(VLOOKUP(B327,'Reel Register'!$B$4:$K$203,10,FALSE),""))</f>
        <v/>
      </c>
      <c r="G327" s="17" t="str">
        <f>IF(B327="","",IFERROR(VLOOKUP(B327,'Reel Register'!$B$4:$L$203,11,FALSE),""))</f>
        <v/>
      </c>
    </row>
    <row r="328" spans="1:7" x14ac:dyDescent="0.45">
      <c r="A328" s="13"/>
      <c r="B328" s="13"/>
      <c r="C328" s="16"/>
      <c r="D328" s="13"/>
      <c r="E328" s="13"/>
      <c r="F328" s="17" t="str">
        <f>IF(B328="","",IFERROR(VLOOKUP(B328,'Reel Register'!$B$4:$K$203,10,FALSE),""))</f>
        <v/>
      </c>
      <c r="G328" s="17" t="str">
        <f>IF(B328="","",IFERROR(VLOOKUP(B328,'Reel Register'!$B$4:$L$203,11,FALSE),""))</f>
        <v/>
      </c>
    </row>
    <row r="329" spans="1:7" x14ac:dyDescent="0.45">
      <c r="A329" s="13"/>
      <c r="B329" s="13"/>
      <c r="C329" s="16"/>
      <c r="D329" s="13"/>
      <c r="E329" s="13"/>
      <c r="F329" s="17" t="str">
        <f>IF(B329="","",IFERROR(VLOOKUP(B329,'Reel Register'!$B$4:$K$203,10,FALSE),""))</f>
        <v/>
      </c>
      <c r="G329" s="17" t="str">
        <f>IF(B329="","",IFERROR(VLOOKUP(B329,'Reel Register'!$B$4:$L$203,11,FALSE),""))</f>
        <v/>
      </c>
    </row>
    <row r="330" spans="1:7" x14ac:dyDescent="0.45">
      <c r="A330" s="13"/>
      <c r="B330" s="13"/>
      <c r="C330" s="16"/>
      <c r="D330" s="13"/>
      <c r="E330" s="13"/>
      <c r="F330" s="17" t="str">
        <f>IF(B330="","",IFERROR(VLOOKUP(B330,'Reel Register'!$B$4:$K$203,10,FALSE),""))</f>
        <v/>
      </c>
      <c r="G330" s="17" t="str">
        <f>IF(B330="","",IFERROR(VLOOKUP(B330,'Reel Register'!$B$4:$L$203,11,FALSE),""))</f>
        <v/>
      </c>
    </row>
    <row r="331" spans="1:7" x14ac:dyDescent="0.45">
      <c r="A331" s="13"/>
      <c r="B331" s="13"/>
      <c r="C331" s="16"/>
      <c r="D331" s="13"/>
      <c r="E331" s="13"/>
      <c r="F331" s="17" t="str">
        <f>IF(B331="","",IFERROR(VLOOKUP(B331,'Reel Register'!$B$4:$K$203,10,FALSE),""))</f>
        <v/>
      </c>
      <c r="G331" s="17" t="str">
        <f>IF(B331="","",IFERROR(VLOOKUP(B331,'Reel Register'!$B$4:$L$203,11,FALSE),""))</f>
        <v/>
      </c>
    </row>
    <row r="332" spans="1:7" x14ac:dyDescent="0.45">
      <c r="A332" s="13"/>
      <c r="B332" s="13"/>
      <c r="C332" s="16"/>
      <c r="D332" s="13"/>
      <c r="E332" s="13"/>
      <c r="F332" s="17" t="str">
        <f>IF(B332="","",IFERROR(VLOOKUP(B332,'Reel Register'!$B$4:$K$203,10,FALSE),""))</f>
        <v/>
      </c>
      <c r="G332" s="17" t="str">
        <f>IF(B332="","",IFERROR(VLOOKUP(B332,'Reel Register'!$B$4:$L$203,11,FALSE),""))</f>
        <v/>
      </c>
    </row>
    <row r="333" spans="1:7" x14ac:dyDescent="0.45">
      <c r="A333" s="13"/>
      <c r="B333" s="13"/>
      <c r="C333" s="16"/>
      <c r="D333" s="13"/>
      <c r="E333" s="13"/>
      <c r="F333" s="17" t="str">
        <f>IF(B333="","",IFERROR(VLOOKUP(B333,'Reel Register'!$B$4:$K$203,10,FALSE),""))</f>
        <v/>
      </c>
      <c r="G333" s="17" t="str">
        <f>IF(B333="","",IFERROR(VLOOKUP(B333,'Reel Register'!$B$4:$L$203,11,FALSE),""))</f>
        <v/>
      </c>
    </row>
    <row r="334" spans="1:7" x14ac:dyDescent="0.45">
      <c r="A334" s="13"/>
      <c r="B334" s="13"/>
      <c r="C334" s="16"/>
      <c r="D334" s="13"/>
      <c r="E334" s="13"/>
      <c r="F334" s="17" t="str">
        <f>IF(B334="","",IFERROR(VLOOKUP(B334,'Reel Register'!$B$4:$K$203,10,FALSE),""))</f>
        <v/>
      </c>
      <c r="G334" s="17" t="str">
        <f>IF(B334="","",IFERROR(VLOOKUP(B334,'Reel Register'!$B$4:$L$203,11,FALSE),""))</f>
        <v/>
      </c>
    </row>
    <row r="335" spans="1:7" x14ac:dyDescent="0.45">
      <c r="A335" s="13"/>
      <c r="B335" s="13"/>
      <c r="C335" s="16"/>
      <c r="D335" s="13"/>
      <c r="E335" s="13"/>
      <c r="F335" s="17" t="str">
        <f>IF(B335="","",IFERROR(VLOOKUP(B335,'Reel Register'!$B$4:$K$203,10,FALSE),""))</f>
        <v/>
      </c>
      <c r="G335" s="17" t="str">
        <f>IF(B335="","",IFERROR(VLOOKUP(B335,'Reel Register'!$B$4:$L$203,11,FALSE),""))</f>
        <v/>
      </c>
    </row>
    <row r="336" spans="1:7" x14ac:dyDescent="0.45">
      <c r="A336" s="13"/>
      <c r="B336" s="13"/>
      <c r="C336" s="16"/>
      <c r="D336" s="13"/>
      <c r="E336" s="13"/>
      <c r="F336" s="17" t="str">
        <f>IF(B336="","",IFERROR(VLOOKUP(B336,'Reel Register'!$B$4:$K$203,10,FALSE),""))</f>
        <v/>
      </c>
      <c r="G336" s="17" t="str">
        <f>IF(B336="","",IFERROR(VLOOKUP(B336,'Reel Register'!$B$4:$L$203,11,FALSE),""))</f>
        <v/>
      </c>
    </row>
    <row r="337" spans="1:7" x14ac:dyDescent="0.45">
      <c r="A337" s="13"/>
      <c r="B337" s="13"/>
      <c r="C337" s="16"/>
      <c r="D337" s="13"/>
      <c r="E337" s="13"/>
      <c r="F337" s="17" t="str">
        <f>IF(B337="","",IFERROR(VLOOKUP(B337,'Reel Register'!$B$4:$K$203,10,FALSE),""))</f>
        <v/>
      </c>
      <c r="G337" s="17" t="str">
        <f>IF(B337="","",IFERROR(VLOOKUP(B337,'Reel Register'!$B$4:$L$203,11,FALSE),""))</f>
        <v/>
      </c>
    </row>
    <row r="338" spans="1:7" x14ac:dyDescent="0.45">
      <c r="A338" s="13"/>
      <c r="B338" s="13"/>
      <c r="C338" s="16"/>
      <c r="D338" s="13"/>
      <c r="E338" s="13"/>
      <c r="F338" s="17" t="str">
        <f>IF(B338="","",IFERROR(VLOOKUP(B338,'Reel Register'!$B$4:$K$203,10,FALSE),""))</f>
        <v/>
      </c>
      <c r="G338" s="17" t="str">
        <f>IF(B338="","",IFERROR(VLOOKUP(B338,'Reel Register'!$B$4:$L$203,11,FALSE),""))</f>
        <v/>
      </c>
    </row>
    <row r="339" spans="1:7" x14ac:dyDescent="0.45">
      <c r="A339" s="13"/>
      <c r="B339" s="13"/>
      <c r="C339" s="16"/>
      <c r="D339" s="13"/>
      <c r="E339" s="13"/>
      <c r="F339" s="17" t="str">
        <f>IF(B339="","",IFERROR(VLOOKUP(B339,'Reel Register'!$B$4:$K$203,10,FALSE),""))</f>
        <v/>
      </c>
      <c r="G339" s="17" t="str">
        <f>IF(B339="","",IFERROR(VLOOKUP(B339,'Reel Register'!$B$4:$L$203,11,FALSE),""))</f>
        <v/>
      </c>
    </row>
    <row r="340" spans="1:7" x14ac:dyDescent="0.45">
      <c r="A340" s="13"/>
      <c r="B340" s="13"/>
      <c r="C340" s="16"/>
      <c r="D340" s="13"/>
      <c r="E340" s="13"/>
      <c r="F340" s="17" t="str">
        <f>IF(B340="","",IFERROR(VLOOKUP(B340,'Reel Register'!$B$4:$K$203,10,FALSE),""))</f>
        <v/>
      </c>
      <c r="G340" s="17" t="str">
        <f>IF(B340="","",IFERROR(VLOOKUP(B340,'Reel Register'!$B$4:$L$203,11,FALSE),""))</f>
        <v/>
      </c>
    </row>
    <row r="341" spans="1:7" x14ac:dyDescent="0.45">
      <c r="A341" s="13"/>
      <c r="B341" s="13"/>
      <c r="C341" s="16"/>
      <c r="D341" s="13"/>
      <c r="E341" s="13"/>
      <c r="F341" s="17" t="str">
        <f>IF(B341="","",IFERROR(VLOOKUP(B341,'Reel Register'!$B$4:$K$203,10,FALSE),""))</f>
        <v/>
      </c>
      <c r="G341" s="17" t="str">
        <f>IF(B341="","",IFERROR(VLOOKUP(B341,'Reel Register'!$B$4:$L$203,11,FALSE),""))</f>
        <v/>
      </c>
    </row>
    <row r="342" spans="1:7" x14ac:dyDescent="0.45">
      <c r="A342" s="13"/>
      <c r="B342" s="13"/>
      <c r="C342" s="16"/>
      <c r="D342" s="13"/>
      <c r="E342" s="13"/>
      <c r="F342" s="17" t="str">
        <f>IF(B342="","",IFERROR(VLOOKUP(B342,'Reel Register'!$B$4:$K$203,10,FALSE),""))</f>
        <v/>
      </c>
      <c r="G342" s="17" t="str">
        <f>IF(B342="","",IFERROR(VLOOKUP(B342,'Reel Register'!$B$4:$L$203,11,FALSE),""))</f>
        <v/>
      </c>
    </row>
    <row r="343" spans="1:7" x14ac:dyDescent="0.45">
      <c r="A343" s="13"/>
      <c r="B343" s="13"/>
      <c r="C343" s="16"/>
      <c r="D343" s="13"/>
      <c r="E343" s="13"/>
      <c r="F343" s="17" t="str">
        <f>IF(B343="","",IFERROR(VLOOKUP(B343,'Reel Register'!$B$4:$K$203,10,FALSE),""))</f>
        <v/>
      </c>
      <c r="G343" s="17" t="str">
        <f>IF(B343="","",IFERROR(VLOOKUP(B343,'Reel Register'!$B$4:$L$203,11,FALSE),""))</f>
        <v/>
      </c>
    </row>
    <row r="344" spans="1:7" x14ac:dyDescent="0.45">
      <c r="A344" s="13"/>
      <c r="B344" s="13"/>
      <c r="C344" s="16"/>
      <c r="D344" s="13"/>
      <c r="E344" s="13"/>
      <c r="F344" s="17" t="str">
        <f>IF(B344="","",IFERROR(VLOOKUP(B344,'Reel Register'!$B$4:$K$203,10,FALSE),""))</f>
        <v/>
      </c>
      <c r="G344" s="17" t="str">
        <f>IF(B344="","",IFERROR(VLOOKUP(B344,'Reel Register'!$B$4:$L$203,11,FALSE),""))</f>
        <v/>
      </c>
    </row>
    <row r="345" spans="1:7" x14ac:dyDescent="0.45">
      <c r="A345" s="13"/>
      <c r="B345" s="13"/>
      <c r="C345" s="16"/>
      <c r="D345" s="13"/>
      <c r="E345" s="13"/>
      <c r="F345" s="17" t="str">
        <f>IF(B345="","",IFERROR(VLOOKUP(B345,'Reel Register'!$B$4:$K$203,10,FALSE),""))</f>
        <v/>
      </c>
      <c r="G345" s="17" t="str">
        <f>IF(B345="","",IFERROR(VLOOKUP(B345,'Reel Register'!$B$4:$L$203,11,FALSE),""))</f>
        <v/>
      </c>
    </row>
    <row r="346" spans="1:7" x14ac:dyDescent="0.45">
      <c r="A346" s="13"/>
      <c r="B346" s="13"/>
      <c r="C346" s="16"/>
      <c r="D346" s="13"/>
      <c r="E346" s="13"/>
      <c r="F346" s="17" t="str">
        <f>IF(B346="","",IFERROR(VLOOKUP(B346,'Reel Register'!$B$4:$K$203,10,FALSE),""))</f>
        <v/>
      </c>
      <c r="G346" s="17" t="str">
        <f>IF(B346="","",IFERROR(VLOOKUP(B346,'Reel Register'!$B$4:$L$203,11,FALSE),""))</f>
        <v/>
      </c>
    </row>
    <row r="347" spans="1:7" x14ac:dyDescent="0.45">
      <c r="A347" s="13"/>
      <c r="B347" s="13"/>
      <c r="C347" s="16"/>
      <c r="D347" s="13"/>
      <c r="E347" s="13"/>
      <c r="F347" s="17" t="str">
        <f>IF(B347="","",IFERROR(VLOOKUP(B347,'Reel Register'!$B$4:$K$203,10,FALSE),""))</f>
        <v/>
      </c>
      <c r="G347" s="17" t="str">
        <f>IF(B347="","",IFERROR(VLOOKUP(B347,'Reel Register'!$B$4:$L$203,11,FALSE),""))</f>
        <v/>
      </c>
    </row>
    <row r="348" spans="1:7" x14ac:dyDescent="0.45">
      <c r="A348" s="13"/>
      <c r="B348" s="13"/>
      <c r="C348" s="16"/>
      <c r="D348" s="13"/>
      <c r="E348" s="13"/>
      <c r="F348" s="17" t="str">
        <f>IF(B348="","",IFERROR(VLOOKUP(B348,'Reel Register'!$B$4:$K$203,10,FALSE),""))</f>
        <v/>
      </c>
      <c r="G348" s="17" t="str">
        <f>IF(B348="","",IFERROR(VLOOKUP(B348,'Reel Register'!$B$4:$L$203,11,FALSE),""))</f>
        <v/>
      </c>
    </row>
    <row r="349" spans="1:7" x14ac:dyDescent="0.45">
      <c r="A349" s="13"/>
      <c r="B349" s="13"/>
      <c r="C349" s="16"/>
      <c r="D349" s="13"/>
      <c r="E349" s="13"/>
      <c r="F349" s="17" t="str">
        <f>IF(B349="","",IFERROR(VLOOKUP(B349,'Reel Register'!$B$4:$K$203,10,FALSE),""))</f>
        <v/>
      </c>
      <c r="G349" s="17" t="str">
        <f>IF(B349="","",IFERROR(VLOOKUP(B349,'Reel Register'!$B$4:$L$203,11,FALSE),""))</f>
        <v/>
      </c>
    </row>
    <row r="350" spans="1:7" x14ac:dyDescent="0.45">
      <c r="A350" s="13"/>
      <c r="B350" s="13"/>
      <c r="C350" s="16"/>
      <c r="D350" s="13"/>
      <c r="E350" s="13"/>
      <c r="F350" s="17" t="str">
        <f>IF(B350="","",IFERROR(VLOOKUP(B350,'Reel Register'!$B$4:$K$203,10,FALSE),""))</f>
        <v/>
      </c>
      <c r="G350" s="17" t="str">
        <f>IF(B350="","",IFERROR(VLOOKUP(B350,'Reel Register'!$B$4:$L$203,11,FALSE),""))</f>
        <v/>
      </c>
    </row>
    <row r="351" spans="1:7" x14ac:dyDescent="0.45">
      <c r="A351" s="13"/>
      <c r="B351" s="13"/>
      <c r="C351" s="16"/>
      <c r="D351" s="13"/>
      <c r="E351" s="13"/>
      <c r="F351" s="17" t="str">
        <f>IF(B351="","",IFERROR(VLOOKUP(B351,'Reel Register'!$B$4:$K$203,10,FALSE),""))</f>
        <v/>
      </c>
      <c r="G351" s="17" t="str">
        <f>IF(B351="","",IFERROR(VLOOKUP(B351,'Reel Register'!$B$4:$L$203,11,FALSE),""))</f>
        <v/>
      </c>
    </row>
    <row r="352" spans="1:7" x14ac:dyDescent="0.45">
      <c r="A352" s="13"/>
      <c r="B352" s="13"/>
      <c r="C352" s="16"/>
      <c r="D352" s="13"/>
      <c r="E352" s="13"/>
      <c r="F352" s="17" t="str">
        <f>IF(B352="","",IFERROR(VLOOKUP(B352,'Reel Register'!$B$4:$K$203,10,FALSE),""))</f>
        <v/>
      </c>
      <c r="G352" s="17" t="str">
        <f>IF(B352="","",IFERROR(VLOOKUP(B352,'Reel Register'!$B$4:$L$203,11,FALSE),""))</f>
        <v/>
      </c>
    </row>
    <row r="353" spans="1:7" x14ac:dyDescent="0.45">
      <c r="A353" s="13"/>
      <c r="B353" s="13"/>
      <c r="C353" s="16"/>
      <c r="D353" s="13"/>
      <c r="E353" s="13"/>
      <c r="F353" s="17" t="str">
        <f>IF(B353="","",IFERROR(VLOOKUP(B353,'Reel Register'!$B$4:$K$203,10,FALSE),""))</f>
        <v/>
      </c>
      <c r="G353" s="17" t="str">
        <f>IF(B353="","",IFERROR(VLOOKUP(B353,'Reel Register'!$B$4:$L$203,11,FALSE),""))</f>
        <v/>
      </c>
    </row>
    <row r="354" spans="1:7" x14ac:dyDescent="0.45">
      <c r="A354" s="13"/>
      <c r="B354" s="13"/>
      <c r="C354" s="16"/>
      <c r="D354" s="13"/>
      <c r="E354" s="13"/>
      <c r="F354" s="17" t="str">
        <f>IF(B354="","",IFERROR(VLOOKUP(B354,'Reel Register'!$B$4:$K$203,10,FALSE),""))</f>
        <v/>
      </c>
      <c r="G354" s="17" t="str">
        <f>IF(B354="","",IFERROR(VLOOKUP(B354,'Reel Register'!$B$4:$L$203,11,FALSE),""))</f>
        <v/>
      </c>
    </row>
    <row r="355" spans="1:7" x14ac:dyDescent="0.45">
      <c r="A355" s="13"/>
      <c r="B355" s="13"/>
      <c r="C355" s="16"/>
      <c r="D355" s="13"/>
      <c r="E355" s="13"/>
      <c r="F355" s="17" t="str">
        <f>IF(B355="","",IFERROR(VLOOKUP(B355,'Reel Register'!$B$4:$K$203,10,FALSE),""))</f>
        <v/>
      </c>
      <c r="G355" s="17" t="str">
        <f>IF(B355="","",IFERROR(VLOOKUP(B355,'Reel Register'!$B$4:$L$203,11,FALSE),""))</f>
        <v/>
      </c>
    </row>
    <row r="356" spans="1:7" x14ac:dyDescent="0.45">
      <c r="A356" s="13"/>
      <c r="B356" s="13"/>
      <c r="C356" s="16"/>
      <c r="D356" s="13"/>
      <c r="E356" s="13"/>
      <c r="F356" s="17" t="str">
        <f>IF(B356="","",IFERROR(VLOOKUP(B356,'Reel Register'!$B$4:$K$203,10,FALSE),""))</f>
        <v/>
      </c>
      <c r="G356" s="17" t="str">
        <f>IF(B356="","",IFERROR(VLOOKUP(B356,'Reel Register'!$B$4:$L$203,11,FALSE),""))</f>
        <v/>
      </c>
    </row>
    <row r="357" spans="1:7" x14ac:dyDescent="0.45">
      <c r="A357" s="13"/>
      <c r="B357" s="13"/>
      <c r="C357" s="16"/>
      <c r="D357" s="13"/>
      <c r="E357" s="13"/>
      <c r="F357" s="17" t="str">
        <f>IF(B357="","",IFERROR(VLOOKUP(B357,'Reel Register'!$B$4:$K$203,10,FALSE),""))</f>
        <v/>
      </c>
      <c r="G357" s="17" t="str">
        <f>IF(B357="","",IFERROR(VLOOKUP(B357,'Reel Register'!$B$4:$L$203,11,FALSE),""))</f>
        <v/>
      </c>
    </row>
    <row r="358" spans="1:7" x14ac:dyDescent="0.45">
      <c r="A358" s="13"/>
      <c r="B358" s="13"/>
      <c r="C358" s="16"/>
      <c r="D358" s="13"/>
      <c r="E358" s="13"/>
      <c r="F358" s="17" t="str">
        <f>IF(B358="","",IFERROR(VLOOKUP(B358,'Reel Register'!$B$4:$K$203,10,FALSE),""))</f>
        <v/>
      </c>
      <c r="G358" s="17" t="str">
        <f>IF(B358="","",IFERROR(VLOOKUP(B358,'Reel Register'!$B$4:$L$203,11,FALSE),""))</f>
        <v/>
      </c>
    </row>
    <row r="359" spans="1:7" x14ac:dyDescent="0.45">
      <c r="A359" s="13"/>
      <c r="B359" s="13"/>
      <c r="C359" s="16"/>
      <c r="D359" s="13"/>
      <c r="E359" s="13"/>
      <c r="F359" s="17" t="str">
        <f>IF(B359="","",IFERROR(VLOOKUP(B359,'Reel Register'!$B$4:$K$203,10,FALSE),""))</f>
        <v/>
      </c>
      <c r="G359" s="17" t="str">
        <f>IF(B359="","",IFERROR(VLOOKUP(B359,'Reel Register'!$B$4:$L$203,11,FALSE),""))</f>
        <v/>
      </c>
    </row>
    <row r="360" spans="1:7" x14ac:dyDescent="0.45">
      <c r="A360" s="13"/>
      <c r="B360" s="13"/>
      <c r="C360" s="16"/>
      <c r="D360" s="13"/>
      <c r="E360" s="13"/>
      <c r="F360" s="17" t="str">
        <f>IF(B360="","",IFERROR(VLOOKUP(B360,'Reel Register'!$B$4:$K$203,10,FALSE),""))</f>
        <v/>
      </c>
      <c r="G360" s="17" t="str">
        <f>IF(B360="","",IFERROR(VLOOKUP(B360,'Reel Register'!$B$4:$L$203,11,FALSE),""))</f>
        <v/>
      </c>
    </row>
    <row r="361" spans="1:7" x14ac:dyDescent="0.45">
      <c r="A361" s="13"/>
      <c r="B361" s="13"/>
      <c r="C361" s="16"/>
      <c r="D361" s="13"/>
      <c r="E361" s="13"/>
      <c r="F361" s="17" t="str">
        <f>IF(B361="","",IFERROR(VLOOKUP(B361,'Reel Register'!$B$4:$K$203,10,FALSE),""))</f>
        <v/>
      </c>
      <c r="G361" s="17" t="str">
        <f>IF(B361="","",IFERROR(VLOOKUP(B361,'Reel Register'!$B$4:$L$203,11,FALSE),""))</f>
        <v/>
      </c>
    </row>
    <row r="362" spans="1:7" x14ac:dyDescent="0.45">
      <c r="A362" s="13"/>
      <c r="B362" s="13"/>
      <c r="C362" s="16"/>
      <c r="D362" s="13"/>
      <c r="E362" s="13"/>
      <c r="F362" s="17" t="str">
        <f>IF(B362="","",IFERROR(VLOOKUP(B362,'Reel Register'!$B$4:$K$203,10,FALSE),""))</f>
        <v/>
      </c>
      <c r="G362" s="17" t="str">
        <f>IF(B362="","",IFERROR(VLOOKUP(B362,'Reel Register'!$B$4:$L$203,11,FALSE),""))</f>
        <v/>
      </c>
    </row>
    <row r="363" spans="1:7" x14ac:dyDescent="0.45">
      <c r="A363" s="13"/>
      <c r="B363" s="13"/>
      <c r="C363" s="16"/>
      <c r="D363" s="13"/>
      <c r="E363" s="13"/>
      <c r="F363" s="17" t="str">
        <f>IF(B363="","",IFERROR(VLOOKUP(B363,'Reel Register'!$B$4:$K$203,10,FALSE),""))</f>
        <v/>
      </c>
      <c r="G363" s="17" t="str">
        <f>IF(B363="","",IFERROR(VLOOKUP(B363,'Reel Register'!$B$4:$L$203,11,FALSE),""))</f>
        <v/>
      </c>
    </row>
    <row r="364" spans="1:7" x14ac:dyDescent="0.45">
      <c r="A364" s="13"/>
      <c r="B364" s="13"/>
      <c r="C364" s="16"/>
      <c r="D364" s="13"/>
      <c r="E364" s="13"/>
      <c r="F364" s="17" t="str">
        <f>IF(B364="","",IFERROR(VLOOKUP(B364,'Reel Register'!$B$4:$K$203,10,FALSE),""))</f>
        <v/>
      </c>
      <c r="G364" s="17" t="str">
        <f>IF(B364="","",IFERROR(VLOOKUP(B364,'Reel Register'!$B$4:$L$203,11,FALSE),""))</f>
        <v/>
      </c>
    </row>
    <row r="365" spans="1:7" x14ac:dyDescent="0.45">
      <c r="A365" s="13"/>
      <c r="B365" s="13"/>
      <c r="C365" s="16"/>
      <c r="D365" s="13"/>
      <c r="E365" s="13"/>
      <c r="F365" s="17" t="str">
        <f>IF(B365="","",IFERROR(VLOOKUP(B365,'Reel Register'!$B$4:$K$203,10,FALSE),""))</f>
        <v/>
      </c>
      <c r="G365" s="17" t="str">
        <f>IF(B365="","",IFERROR(VLOOKUP(B365,'Reel Register'!$B$4:$L$203,11,FALSE),""))</f>
        <v/>
      </c>
    </row>
    <row r="366" spans="1:7" x14ac:dyDescent="0.45">
      <c r="A366" s="13"/>
      <c r="B366" s="13"/>
      <c r="C366" s="16"/>
      <c r="D366" s="13"/>
      <c r="E366" s="13"/>
      <c r="F366" s="17" t="str">
        <f>IF(B366="","",IFERROR(VLOOKUP(B366,'Reel Register'!$B$4:$K$203,10,FALSE),""))</f>
        <v/>
      </c>
      <c r="G366" s="17" t="str">
        <f>IF(B366="","",IFERROR(VLOOKUP(B366,'Reel Register'!$B$4:$L$203,11,FALSE),""))</f>
        <v/>
      </c>
    </row>
    <row r="367" spans="1:7" x14ac:dyDescent="0.45">
      <c r="A367" s="13"/>
      <c r="B367" s="13"/>
      <c r="C367" s="16"/>
      <c r="D367" s="13"/>
      <c r="E367" s="13"/>
      <c r="F367" s="17" t="str">
        <f>IF(B367="","",IFERROR(VLOOKUP(B367,'Reel Register'!$B$4:$K$203,10,FALSE),""))</f>
        <v/>
      </c>
      <c r="G367" s="17" t="str">
        <f>IF(B367="","",IFERROR(VLOOKUP(B367,'Reel Register'!$B$4:$L$203,11,FALSE),""))</f>
        <v/>
      </c>
    </row>
    <row r="368" spans="1:7" x14ac:dyDescent="0.45">
      <c r="A368" s="13"/>
      <c r="B368" s="13"/>
      <c r="C368" s="16"/>
      <c r="D368" s="13"/>
      <c r="E368" s="13"/>
      <c r="F368" s="17" t="str">
        <f>IF(B368="","",IFERROR(VLOOKUP(B368,'Reel Register'!$B$4:$K$203,10,FALSE),""))</f>
        <v/>
      </c>
      <c r="G368" s="17" t="str">
        <f>IF(B368="","",IFERROR(VLOOKUP(B368,'Reel Register'!$B$4:$L$203,11,FALSE),""))</f>
        <v/>
      </c>
    </row>
    <row r="369" spans="1:7" x14ac:dyDescent="0.45">
      <c r="A369" s="13"/>
      <c r="B369" s="13"/>
      <c r="C369" s="16"/>
      <c r="D369" s="13"/>
      <c r="E369" s="13"/>
      <c r="F369" s="17" t="str">
        <f>IF(B369="","",IFERROR(VLOOKUP(B369,'Reel Register'!$B$4:$K$203,10,FALSE),""))</f>
        <v/>
      </c>
      <c r="G369" s="17" t="str">
        <f>IF(B369="","",IFERROR(VLOOKUP(B369,'Reel Register'!$B$4:$L$203,11,FALSE),""))</f>
        <v/>
      </c>
    </row>
    <row r="370" spans="1:7" x14ac:dyDescent="0.45">
      <c r="A370" s="13"/>
      <c r="B370" s="13"/>
      <c r="C370" s="16"/>
      <c r="D370" s="13"/>
      <c r="E370" s="13"/>
      <c r="F370" s="17" t="str">
        <f>IF(B370="","",IFERROR(VLOOKUP(B370,'Reel Register'!$B$4:$K$203,10,FALSE),""))</f>
        <v/>
      </c>
      <c r="G370" s="17" t="str">
        <f>IF(B370="","",IFERROR(VLOOKUP(B370,'Reel Register'!$B$4:$L$203,11,FALSE),""))</f>
        <v/>
      </c>
    </row>
    <row r="371" spans="1:7" x14ac:dyDescent="0.45">
      <c r="A371" s="13"/>
      <c r="B371" s="13"/>
      <c r="C371" s="16"/>
      <c r="D371" s="13"/>
      <c r="E371" s="13"/>
      <c r="F371" s="17" t="str">
        <f>IF(B371="","",IFERROR(VLOOKUP(B371,'Reel Register'!$B$4:$K$203,10,FALSE),""))</f>
        <v/>
      </c>
      <c r="G371" s="17" t="str">
        <f>IF(B371="","",IFERROR(VLOOKUP(B371,'Reel Register'!$B$4:$L$203,11,FALSE),""))</f>
        <v/>
      </c>
    </row>
    <row r="372" spans="1:7" x14ac:dyDescent="0.45">
      <c r="A372" s="13"/>
      <c r="B372" s="13"/>
      <c r="C372" s="16"/>
      <c r="D372" s="13"/>
      <c r="E372" s="13"/>
      <c r="F372" s="17" t="str">
        <f>IF(B372="","",IFERROR(VLOOKUP(B372,'Reel Register'!$B$4:$K$203,10,FALSE),""))</f>
        <v/>
      </c>
      <c r="G372" s="17" t="str">
        <f>IF(B372="","",IFERROR(VLOOKUP(B372,'Reel Register'!$B$4:$L$203,11,FALSE),""))</f>
        <v/>
      </c>
    </row>
    <row r="373" spans="1:7" x14ac:dyDescent="0.45">
      <c r="A373" s="13"/>
      <c r="B373" s="13"/>
      <c r="C373" s="16"/>
      <c r="D373" s="13"/>
      <c r="E373" s="13"/>
      <c r="F373" s="17" t="str">
        <f>IF(B373="","",IFERROR(VLOOKUP(B373,'Reel Register'!$B$4:$K$203,10,FALSE),""))</f>
        <v/>
      </c>
      <c r="G373" s="17" t="str">
        <f>IF(B373="","",IFERROR(VLOOKUP(B373,'Reel Register'!$B$4:$L$203,11,FALSE),""))</f>
        <v/>
      </c>
    </row>
    <row r="374" spans="1:7" x14ac:dyDescent="0.45">
      <c r="A374" s="13"/>
      <c r="B374" s="13"/>
      <c r="C374" s="16"/>
      <c r="D374" s="13"/>
      <c r="E374" s="13"/>
      <c r="F374" s="17" t="str">
        <f>IF(B374="","",IFERROR(VLOOKUP(B374,'Reel Register'!$B$4:$K$203,10,FALSE),""))</f>
        <v/>
      </c>
      <c r="G374" s="17" t="str">
        <f>IF(B374="","",IFERROR(VLOOKUP(B374,'Reel Register'!$B$4:$L$203,11,FALSE),""))</f>
        <v/>
      </c>
    </row>
    <row r="375" spans="1:7" x14ac:dyDescent="0.45">
      <c r="A375" s="13"/>
      <c r="B375" s="13"/>
      <c r="C375" s="16"/>
      <c r="D375" s="13"/>
      <c r="E375" s="13"/>
      <c r="F375" s="17" t="str">
        <f>IF(B375="","",IFERROR(VLOOKUP(B375,'Reel Register'!$B$4:$K$203,10,FALSE),""))</f>
        <v/>
      </c>
      <c r="G375" s="17" t="str">
        <f>IF(B375="","",IFERROR(VLOOKUP(B375,'Reel Register'!$B$4:$L$203,11,FALSE),""))</f>
        <v/>
      </c>
    </row>
    <row r="376" spans="1:7" x14ac:dyDescent="0.45">
      <c r="A376" s="13"/>
      <c r="B376" s="13"/>
      <c r="C376" s="16"/>
      <c r="D376" s="13"/>
      <c r="E376" s="13"/>
      <c r="F376" s="17" t="str">
        <f>IF(B376="","",IFERROR(VLOOKUP(B376,'Reel Register'!$B$4:$K$203,10,FALSE),""))</f>
        <v/>
      </c>
      <c r="G376" s="17" t="str">
        <f>IF(B376="","",IFERROR(VLOOKUP(B376,'Reel Register'!$B$4:$L$203,11,FALSE),""))</f>
        <v/>
      </c>
    </row>
    <row r="377" spans="1:7" x14ac:dyDescent="0.45">
      <c r="A377" s="13"/>
      <c r="B377" s="13"/>
      <c r="C377" s="16"/>
      <c r="D377" s="13"/>
      <c r="E377" s="13"/>
      <c r="F377" s="17" t="str">
        <f>IF(B377="","",IFERROR(VLOOKUP(B377,'Reel Register'!$B$4:$K$203,10,FALSE),""))</f>
        <v/>
      </c>
      <c r="G377" s="17" t="str">
        <f>IF(B377="","",IFERROR(VLOOKUP(B377,'Reel Register'!$B$4:$L$203,11,FALSE),""))</f>
        <v/>
      </c>
    </row>
    <row r="378" spans="1:7" x14ac:dyDescent="0.45">
      <c r="A378" s="13"/>
      <c r="B378" s="13"/>
      <c r="C378" s="16"/>
      <c r="D378" s="13"/>
      <c r="E378" s="13"/>
      <c r="F378" s="17" t="str">
        <f>IF(B378="","",IFERROR(VLOOKUP(B378,'Reel Register'!$B$4:$K$203,10,FALSE),""))</f>
        <v/>
      </c>
      <c r="G378" s="17" t="str">
        <f>IF(B378="","",IFERROR(VLOOKUP(B378,'Reel Register'!$B$4:$L$203,11,FALSE),""))</f>
        <v/>
      </c>
    </row>
    <row r="379" spans="1:7" x14ac:dyDescent="0.45">
      <c r="A379" s="13"/>
      <c r="B379" s="13"/>
      <c r="C379" s="16"/>
      <c r="D379" s="13"/>
      <c r="E379" s="13"/>
      <c r="F379" s="17" t="str">
        <f>IF(B379="","",IFERROR(VLOOKUP(B379,'Reel Register'!$B$4:$K$203,10,FALSE),""))</f>
        <v/>
      </c>
      <c r="G379" s="17" t="str">
        <f>IF(B379="","",IFERROR(VLOOKUP(B379,'Reel Register'!$B$4:$L$203,11,FALSE),""))</f>
        <v/>
      </c>
    </row>
    <row r="380" spans="1:7" x14ac:dyDescent="0.45">
      <c r="A380" s="13"/>
      <c r="B380" s="13"/>
      <c r="C380" s="16"/>
      <c r="D380" s="13"/>
      <c r="E380" s="13"/>
      <c r="F380" s="17" t="str">
        <f>IF(B380="","",IFERROR(VLOOKUP(B380,'Reel Register'!$B$4:$K$203,10,FALSE),""))</f>
        <v/>
      </c>
      <c r="G380" s="17" t="str">
        <f>IF(B380="","",IFERROR(VLOOKUP(B380,'Reel Register'!$B$4:$L$203,11,FALSE),""))</f>
        <v/>
      </c>
    </row>
    <row r="381" spans="1:7" x14ac:dyDescent="0.45">
      <c r="A381" s="13"/>
      <c r="B381" s="13"/>
      <c r="C381" s="16"/>
      <c r="D381" s="13"/>
      <c r="E381" s="13"/>
      <c r="F381" s="17" t="str">
        <f>IF(B381="","",IFERROR(VLOOKUP(B381,'Reel Register'!$B$4:$K$203,10,FALSE),""))</f>
        <v/>
      </c>
      <c r="G381" s="17" t="str">
        <f>IF(B381="","",IFERROR(VLOOKUP(B381,'Reel Register'!$B$4:$L$203,11,FALSE),""))</f>
        <v/>
      </c>
    </row>
    <row r="382" spans="1:7" x14ac:dyDescent="0.45">
      <c r="A382" s="13"/>
      <c r="B382" s="13"/>
      <c r="C382" s="16"/>
      <c r="D382" s="13"/>
      <c r="E382" s="13"/>
      <c r="F382" s="17" t="str">
        <f>IF(B382="","",IFERROR(VLOOKUP(B382,'Reel Register'!$B$4:$K$203,10,FALSE),""))</f>
        <v/>
      </c>
      <c r="G382" s="17" t="str">
        <f>IF(B382="","",IFERROR(VLOOKUP(B382,'Reel Register'!$B$4:$L$203,11,FALSE),""))</f>
        <v/>
      </c>
    </row>
    <row r="383" spans="1:7" x14ac:dyDescent="0.45">
      <c r="A383" s="13"/>
      <c r="B383" s="13"/>
      <c r="C383" s="16"/>
      <c r="D383" s="13"/>
      <c r="E383" s="13"/>
      <c r="F383" s="17" t="str">
        <f>IF(B383="","",IFERROR(VLOOKUP(B383,'Reel Register'!$B$4:$K$203,10,FALSE),""))</f>
        <v/>
      </c>
      <c r="G383" s="17" t="str">
        <f>IF(B383="","",IFERROR(VLOOKUP(B383,'Reel Register'!$B$4:$L$203,11,FALSE),""))</f>
        <v/>
      </c>
    </row>
    <row r="384" spans="1:7" x14ac:dyDescent="0.45">
      <c r="A384" s="13"/>
      <c r="B384" s="13"/>
      <c r="C384" s="16"/>
      <c r="D384" s="13"/>
      <c r="E384" s="13"/>
      <c r="F384" s="17" t="str">
        <f>IF(B384="","",IFERROR(VLOOKUP(B384,'Reel Register'!$B$4:$K$203,10,FALSE),""))</f>
        <v/>
      </c>
      <c r="G384" s="17" t="str">
        <f>IF(B384="","",IFERROR(VLOOKUP(B384,'Reel Register'!$B$4:$L$203,11,FALSE),""))</f>
        <v/>
      </c>
    </row>
    <row r="385" spans="1:7" x14ac:dyDescent="0.45">
      <c r="A385" s="13"/>
      <c r="B385" s="13"/>
      <c r="C385" s="16"/>
      <c r="D385" s="13"/>
      <c r="E385" s="13"/>
      <c r="F385" s="17" t="str">
        <f>IF(B385="","",IFERROR(VLOOKUP(B385,'Reel Register'!$B$4:$K$203,10,FALSE),""))</f>
        <v/>
      </c>
      <c r="G385" s="17" t="str">
        <f>IF(B385="","",IFERROR(VLOOKUP(B385,'Reel Register'!$B$4:$L$203,11,FALSE),""))</f>
        <v/>
      </c>
    </row>
    <row r="386" spans="1:7" x14ac:dyDescent="0.45">
      <c r="A386" s="13"/>
      <c r="B386" s="13"/>
      <c r="C386" s="16"/>
      <c r="D386" s="13"/>
      <c r="E386" s="13"/>
      <c r="F386" s="17" t="str">
        <f>IF(B386="","",IFERROR(VLOOKUP(B386,'Reel Register'!$B$4:$K$203,10,FALSE),""))</f>
        <v/>
      </c>
      <c r="G386" s="17" t="str">
        <f>IF(B386="","",IFERROR(VLOOKUP(B386,'Reel Register'!$B$4:$L$203,11,FALSE),""))</f>
        <v/>
      </c>
    </row>
    <row r="387" spans="1:7" x14ac:dyDescent="0.45">
      <c r="A387" s="13"/>
      <c r="B387" s="13"/>
      <c r="C387" s="16"/>
      <c r="D387" s="13"/>
      <c r="E387" s="13"/>
      <c r="F387" s="17" t="str">
        <f>IF(B387="","",IFERROR(VLOOKUP(B387,'Reel Register'!$B$4:$K$203,10,FALSE),""))</f>
        <v/>
      </c>
      <c r="G387" s="17" t="str">
        <f>IF(B387="","",IFERROR(VLOOKUP(B387,'Reel Register'!$B$4:$L$203,11,FALSE),""))</f>
        <v/>
      </c>
    </row>
    <row r="388" spans="1:7" x14ac:dyDescent="0.45">
      <c r="A388" s="13"/>
      <c r="B388" s="13"/>
      <c r="C388" s="16"/>
      <c r="D388" s="13"/>
      <c r="E388" s="13"/>
      <c r="F388" s="17" t="str">
        <f>IF(B388="","",IFERROR(VLOOKUP(B388,'Reel Register'!$B$4:$K$203,10,FALSE),""))</f>
        <v/>
      </c>
      <c r="G388" s="17" t="str">
        <f>IF(B388="","",IFERROR(VLOOKUP(B388,'Reel Register'!$B$4:$L$203,11,FALSE),""))</f>
        <v/>
      </c>
    </row>
    <row r="389" spans="1:7" x14ac:dyDescent="0.45">
      <c r="A389" s="13"/>
      <c r="B389" s="13"/>
      <c r="C389" s="16"/>
      <c r="D389" s="13"/>
      <c r="E389" s="13"/>
      <c r="F389" s="17" t="str">
        <f>IF(B389="","",IFERROR(VLOOKUP(B389,'Reel Register'!$B$4:$K$203,10,FALSE),""))</f>
        <v/>
      </c>
      <c r="G389" s="17" t="str">
        <f>IF(B389="","",IFERROR(VLOOKUP(B389,'Reel Register'!$B$4:$L$203,11,FALSE),""))</f>
        <v/>
      </c>
    </row>
    <row r="390" spans="1:7" x14ac:dyDescent="0.45">
      <c r="A390" s="13"/>
      <c r="B390" s="13"/>
      <c r="C390" s="16"/>
      <c r="D390" s="13"/>
      <c r="E390" s="13"/>
      <c r="F390" s="17" t="str">
        <f>IF(B390="","",IFERROR(VLOOKUP(B390,'Reel Register'!$B$4:$K$203,10,FALSE),""))</f>
        <v/>
      </c>
      <c r="G390" s="17" t="str">
        <f>IF(B390="","",IFERROR(VLOOKUP(B390,'Reel Register'!$B$4:$L$203,11,FALSE),""))</f>
        <v/>
      </c>
    </row>
    <row r="391" spans="1:7" x14ac:dyDescent="0.45">
      <c r="A391" s="13"/>
      <c r="B391" s="13"/>
      <c r="C391" s="16"/>
      <c r="D391" s="13"/>
      <c r="E391" s="13"/>
      <c r="F391" s="17" t="str">
        <f>IF(B391="","",IFERROR(VLOOKUP(B391,'Reel Register'!$B$4:$K$203,10,FALSE),""))</f>
        <v/>
      </c>
      <c r="G391" s="17" t="str">
        <f>IF(B391="","",IFERROR(VLOOKUP(B391,'Reel Register'!$B$4:$L$203,11,FALSE),""))</f>
        <v/>
      </c>
    </row>
    <row r="392" spans="1:7" x14ac:dyDescent="0.45">
      <c r="A392" s="13"/>
      <c r="B392" s="13"/>
      <c r="C392" s="16"/>
      <c r="D392" s="13"/>
      <c r="E392" s="13"/>
      <c r="F392" s="17" t="str">
        <f>IF(B392="","",IFERROR(VLOOKUP(B392,'Reel Register'!$B$4:$K$203,10,FALSE),""))</f>
        <v/>
      </c>
      <c r="G392" s="17" t="str">
        <f>IF(B392="","",IFERROR(VLOOKUP(B392,'Reel Register'!$B$4:$L$203,11,FALSE),""))</f>
        <v/>
      </c>
    </row>
    <row r="393" spans="1:7" x14ac:dyDescent="0.45">
      <c r="A393" s="13"/>
      <c r="B393" s="13"/>
      <c r="C393" s="16"/>
      <c r="D393" s="13"/>
      <c r="E393" s="13"/>
      <c r="F393" s="17" t="str">
        <f>IF(B393="","",IFERROR(VLOOKUP(B393,'Reel Register'!$B$4:$K$203,10,FALSE),""))</f>
        <v/>
      </c>
      <c r="G393" s="17" t="str">
        <f>IF(B393="","",IFERROR(VLOOKUP(B393,'Reel Register'!$B$4:$L$203,11,FALSE),""))</f>
        <v/>
      </c>
    </row>
    <row r="394" spans="1:7" x14ac:dyDescent="0.45">
      <c r="A394" s="13"/>
      <c r="B394" s="13"/>
      <c r="C394" s="16"/>
      <c r="D394" s="13"/>
      <c r="E394" s="13"/>
      <c r="F394" s="17" t="str">
        <f>IF(B394="","",IFERROR(VLOOKUP(B394,'Reel Register'!$B$4:$K$203,10,FALSE),""))</f>
        <v/>
      </c>
      <c r="G394" s="17" t="str">
        <f>IF(B394="","",IFERROR(VLOOKUP(B394,'Reel Register'!$B$4:$L$203,11,FALSE),""))</f>
        <v/>
      </c>
    </row>
    <row r="395" spans="1:7" x14ac:dyDescent="0.45">
      <c r="A395" s="13"/>
      <c r="B395" s="13"/>
      <c r="C395" s="16"/>
      <c r="D395" s="13"/>
      <c r="E395" s="13"/>
      <c r="F395" s="17" t="str">
        <f>IF(B395="","",IFERROR(VLOOKUP(B395,'Reel Register'!$B$4:$K$203,10,FALSE),""))</f>
        <v/>
      </c>
      <c r="G395" s="17" t="str">
        <f>IF(B395="","",IFERROR(VLOOKUP(B395,'Reel Register'!$B$4:$L$203,11,FALSE),""))</f>
        <v/>
      </c>
    </row>
    <row r="396" spans="1:7" x14ac:dyDescent="0.45">
      <c r="A396" s="13"/>
      <c r="B396" s="13"/>
      <c r="C396" s="16"/>
      <c r="D396" s="13"/>
      <c r="E396" s="13"/>
      <c r="F396" s="17" t="str">
        <f>IF(B396="","",IFERROR(VLOOKUP(B396,'Reel Register'!$B$4:$K$203,10,FALSE),""))</f>
        <v/>
      </c>
      <c r="G396" s="17" t="str">
        <f>IF(B396="","",IFERROR(VLOOKUP(B396,'Reel Register'!$B$4:$L$203,11,FALSE),""))</f>
        <v/>
      </c>
    </row>
    <row r="397" spans="1:7" x14ac:dyDescent="0.45">
      <c r="A397" s="13"/>
      <c r="B397" s="13"/>
      <c r="C397" s="16"/>
      <c r="D397" s="13"/>
      <c r="E397" s="13"/>
      <c r="F397" s="17" t="str">
        <f>IF(B397="","",IFERROR(VLOOKUP(B397,'Reel Register'!$B$4:$K$203,10,FALSE),""))</f>
        <v/>
      </c>
      <c r="G397" s="17" t="str">
        <f>IF(B397="","",IFERROR(VLOOKUP(B397,'Reel Register'!$B$4:$L$203,11,FALSE),""))</f>
        <v/>
      </c>
    </row>
    <row r="398" spans="1:7" x14ac:dyDescent="0.45">
      <c r="A398" s="13"/>
      <c r="B398" s="13"/>
      <c r="C398" s="16"/>
      <c r="D398" s="13"/>
      <c r="E398" s="13"/>
      <c r="F398" s="17" t="str">
        <f>IF(B398="","",IFERROR(VLOOKUP(B398,'Reel Register'!$B$4:$K$203,10,FALSE),""))</f>
        <v/>
      </c>
      <c r="G398" s="17" t="str">
        <f>IF(B398="","",IFERROR(VLOOKUP(B398,'Reel Register'!$B$4:$L$203,11,FALSE),""))</f>
        <v/>
      </c>
    </row>
    <row r="399" spans="1:7" x14ac:dyDescent="0.45">
      <c r="A399" s="13"/>
      <c r="B399" s="13"/>
      <c r="C399" s="16"/>
      <c r="D399" s="13"/>
      <c r="E399" s="13"/>
      <c r="F399" s="17" t="str">
        <f>IF(B399="","",IFERROR(VLOOKUP(B399,'Reel Register'!$B$4:$K$203,10,FALSE),""))</f>
        <v/>
      </c>
      <c r="G399" s="17" t="str">
        <f>IF(B399="","",IFERROR(VLOOKUP(B399,'Reel Register'!$B$4:$L$203,11,FALSE),""))</f>
        <v/>
      </c>
    </row>
    <row r="400" spans="1:7" x14ac:dyDescent="0.45">
      <c r="A400" s="13"/>
      <c r="B400" s="13"/>
      <c r="C400" s="16"/>
      <c r="D400" s="13"/>
      <c r="E400" s="13"/>
      <c r="F400" s="17" t="str">
        <f>IF(B400="","",IFERROR(VLOOKUP(B400,'Reel Register'!$B$4:$K$203,10,FALSE),""))</f>
        <v/>
      </c>
      <c r="G400" s="17" t="str">
        <f>IF(B400="","",IFERROR(VLOOKUP(B400,'Reel Register'!$B$4:$L$203,11,FALSE),""))</f>
        <v/>
      </c>
    </row>
    <row r="401" spans="1:7" x14ac:dyDescent="0.45">
      <c r="A401" s="13"/>
      <c r="B401" s="13"/>
      <c r="C401" s="16"/>
      <c r="D401" s="13"/>
      <c r="E401" s="13"/>
      <c r="F401" s="17" t="str">
        <f>IF(B401="","",IFERROR(VLOOKUP(B401,'Reel Register'!$B$4:$K$203,10,FALSE),""))</f>
        <v/>
      </c>
      <c r="G401" s="17" t="str">
        <f>IF(B401="","",IFERROR(VLOOKUP(B401,'Reel Register'!$B$4:$L$203,11,FALSE),""))</f>
        <v/>
      </c>
    </row>
    <row r="402" spans="1:7" x14ac:dyDescent="0.45">
      <c r="A402" s="13"/>
      <c r="B402" s="13"/>
      <c r="C402" s="16"/>
      <c r="D402" s="13"/>
      <c r="E402" s="13"/>
      <c r="F402" s="17" t="str">
        <f>IF(B402="","",IFERROR(VLOOKUP(B402,'Reel Register'!$B$4:$K$203,10,FALSE),""))</f>
        <v/>
      </c>
      <c r="G402" s="17" t="str">
        <f>IF(B402="","",IFERROR(VLOOKUP(B402,'Reel Register'!$B$4:$L$203,11,FALSE),""))</f>
        <v/>
      </c>
    </row>
    <row r="403" spans="1:7" x14ac:dyDescent="0.45">
      <c r="A403" s="13"/>
      <c r="B403" s="13"/>
      <c r="C403" s="16"/>
      <c r="D403" s="13"/>
      <c r="E403" s="13"/>
      <c r="F403" s="17" t="str">
        <f>IF(B403="","",IFERROR(VLOOKUP(B403,'Reel Register'!$B$4:$K$203,10,FALSE),""))</f>
        <v/>
      </c>
      <c r="G403" s="17" t="str">
        <f>IF(B403="","",IFERROR(VLOOKUP(B403,'Reel Register'!$B$4:$L$203,11,FALSE),""))</f>
        <v/>
      </c>
    </row>
    <row r="404" spans="1:7" x14ac:dyDescent="0.45">
      <c r="A404" s="13"/>
      <c r="B404" s="13"/>
      <c r="C404" s="16"/>
      <c r="D404" s="13"/>
      <c r="E404" s="13"/>
      <c r="F404" s="17" t="str">
        <f>IF(B404="","",IFERROR(VLOOKUP(B404,'Reel Register'!$B$4:$K$203,10,FALSE),""))</f>
        <v/>
      </c>
      <c r="G404" s="17" t="str">
        <f>IF(B404="","",IFERROR(VLOOKUP(B404,'Reel Register'!$B$4:$L$203,11,FALSE),""))</f>
        <v/>
      </c>
    </row>
    <row r="405" spans="1:7" x14ac:dyDescent="0.45">
      <c r="A405" s="13"/>
      <c r="B405" s="13"/>
      <c r="C405" s="16"/>
      <c r="D405" s="13"/>
      <c r="E405" s="13"/>
      <c r="F405" s="17" t="str">
        <f>IF(B405="","",IFERROR(VLOOKUP(B405,'Reel Register'!$B$4:$K$203,10,FALSE),""))</f>
        <v/>
      </c>
      <c r="G405" s="17" t="str">
        <f>IF(B405="","",IFERROR(VLOOKUP(B405,'Reel Register'!$B$4:$L$203,11,FALSE),""))</f>
        <v/>
      </c>
    </row>
    <row r="406" spans="1:7" x14ac:dyDescent="0.45">
      <c r="A406" s="13"/>
      <c r="B406" s="13"/>
      <c r="C406" s="16"/>
      <c r="D406" s="13"/>
      <c r="E406" s="13"/>
      <c r="F406" s="17" t="str">
        <f>IF(B406="","",IFERROR(VLOOKUP(B406,'Reel Register'!$B$4:$K$203,10,FALSE),""))</f>
        <v/>
      </c>
      <c r="G406" s="17" t="str">
        <f>IF(B406="","",IFERROR(VLOOKUP(B406,'Reel Register'!$B$4:$L$203,11,FALSE),""))</f>
        <v/>
      </c>
    </row>
    <row r="407" spans="1:7" x14ac:dyDescent="0.45">
      <c r="A407" s="13"/>
      <c r="B407" s="13"/>
      <c r="C407" s="16"/>
      <c r="D407" s="13"/>
      <c r="E407" s="13"/>
      <c r="F407" s="17" t="str">
        <f>IF(B407="","",IFERROR(VLOOKUP(B407,'Reel Register'!$B$4:$K$203,10,FALSE),""))</f>
        <v/>
      </c>
      <c r="G407" s="17" t="str">
        <f>IF(B407="","",IFERROR(VLOOKUP(B407,'Reel Register'!$B$4:$L$203,11,FALSE),""))</f>
        <v/>
      </c>
    </row>
    <row r="408" spans="1:7" x14ac:dyDescent="0.45">
      <c r="A408" s="13"/>
      <c r="B408" s="13"/>
      <c r="C408" s="16"/>
      <c r="D408" s="13"/>
      <c r="E408" s="13"/>
      <c r="F408" s="17" t="str">
        <f>IF(B408="","",IFERROR(VLOOKUP(B408,'Reel Register'!$B$4:$K$203,10,FALSE),""))</f>
        <v/>
      </c>
      <c r="G408" s="17" t="str">
        <f>IF(B408="","",IFERROR(VLOOKUP(B408,'Reel Register'!$B$4:$L$203,11,FALSE),""))</f>
        <v/>
      </c>
    </row>
    <row r="409" spans="1:7" x14ac:dyDescent="0.45">
      <c r="A409" s="13"/>
      <c r="B409" s="13"/>
      <c r="C409" s="16"/>
      <c r="D409" s="13"/>
      <c r="E409" s="13"/>
      <c r="F409" s="17" t="str">
        <f>IF(B409="","",IFERROR(VLOOKUP(B409,'Reel Register'!$B$4:$K$203,10,FALSE),""))</f>
        <v/>
      </c>
      <c r="G409" s="17" t="str">
        <f>IF(B409="","",IFERROR(VLOOKUP(B409,'Reel Register'!$B$4:$L$203,11,FALSE),""))</f>
        <v/>
      </c>
    </row>
    <row r="410" spans="1:7" x14ac:dyDescent="0.45">
      <c r="A410" s="13"/>
      <c r="B410" s="13"/>
      <c r="C410" s="16"/>
      <c r="D410" s="13"/>
      <c r="E410" s="13"/>
      <c r="F410" s="17" t="str">
        <f>IF(B410="","",IFERROR(VLOOKUP(B410,'Reel Register'!$B$4:$K$203,10,FALSE),""))</f>
        <v/>
      </c>
      <c r="G410" s="17" t="str">
        <f>IF(B410="","",IFERROR(VLOOKUP(B410,'Reel Register'!$B$4:$L$203,11,FALSE),""))</f>
        <v/>
      </c>
    </row>
    <row r="411" spans="1:7" x14ac:dyDescent="0.45">
      <c r="A411" s="13"/>
      <c r="B411" s="13"/>
      <c r="C411" s="16"/>
      <c r="D411" s="13"/>
      <c r="E411" s="13"/>
      <c r="F411" s="17" t="str">
        <f>IF(B411="","",IFERROR(VLOOKUP(B411,'Reel Register'!$B$4:$K$203,10,FALSE),""))</f>
        <v/>
      </c>
      <c r="G411" s="17" t="str">
        <f>IF(B411="","",IFERROR(VLOOKUP(B411,'Reel Register'!$B$4:$L$203,11,FALSE),""))</f>
        <v/>
      </c>
    </row>
    <row r="412" spans="1:7" x14ac:dyDescent="0.45">
      <c r="A412" s="13"/>
      <c r="B412" s="13"/>
      <c r="C412" s="16"/>
      <c r="D412" s="13"/>
      <c r="E412" s="13"/>
      <c r="F412" s="17" t="str">
        <f>IF(B412="","",IFERROR(VLOOKUP(B412,'Reel Register'!$B$4:$K$203,10,FALSE),""))</f>
        <v/>
      </c>
      <c r="G412" s="17" t="str">
        <f>IF(B412="","",IFERROR(VLOOKUP(B412,'Reel Register'!$B$4:$L$203,11,FALSE),""))</f>
        <v/>
      </c>
    </row>
    <row r="413" spans="1:7" x14ac:dyDescent="0.45">
      <c r="A413" s="13"/>
      <c r="B413" s="13"/>
      <c r="C413" s="16"/>
      <c r="D413" s="13"/>
      <c r="E413" s="13"/>
      <c r="F413" s="17" t="str">
        <f>IF(B413="","",IFERROR(VLOOKUP(B413,'Reel Register'!$B$4:$K$203,10,FALSE),""))</f>
        <v/>
      </c>
      <c r="G413" s="17" t="str">
        <f>IF(B413="","",IFERROR(VLOOKUP(B413,'Reel Register'!$B$4:$L$203,11,FALSE),""))</f>
        <v/>
      </c>
    </row>
    <row r="414" spans="1:7" x14ac:dyDescent="0.45">
      <c r="A414" s="13"/>
      <c r="B414" s="13"/>
      <c r="C414" s="16"/>
      <c r="D414" s="13"/>
      <c r="E414" s="13"/>
      <c r="F414" s="17" t="str">
        <f>IF(B414="","",IFERROR(VLOOKUP(B414,'Reel Register'!$B$4:$K$203,10,FALSE),""))</f>
        <v/>
      </c>
      <c r="G414" s="17" t="str">
        <f>IF(B414="","",IFERROR(VLOOKUP(B414,'Reel Register'!$B$4:$L$203,11,FALSE),""))</f>
        <v/>
      </c>
    </row>
    <row r="415" spans="1:7" x14ac:dyDescent="0.45">
      <c r="A415" s="13"/>
      <c r="B415" s="13"/>
      <c r="C415" s="16"/>
      <c r="D415" s="13"/>
      <c r="E415" s="13"/>
      <c r="F415" s="17" t="str">
        <f>IF(B415="","",IFERROR(VLOOKUP(B415,'Reel Register'!$B$4:$K$203,10,FALSE),""))</f>
        <v/>
      </c>
      <c r="G415" s="17" t="str">
        <f>IF(B415="","",IFERROR(VLOOKUP(B415,'Reel Register'!$B$4:$L$203,11,FALSE),""))</f>
        <v/>
      </c>
    </row>
    <row r="416" spans="1:7" x14ac:dyDescent="0.45">
      <c r="A416" s="13"/>
      <c r="B416" s="13"/>
      <c r="C416" s="16"/>
      <c r="D416" s="13"/>
      <c r="E416" s="13"/>
      <c r="F416" s="17" t="str">
        <f>IF(B416="","",IFERROR(VLOOKUP(B416,'Reel Register'!$B$4:$K$203,10,FALSE),""))</f>
        <v/>
      </c>
      <c r="G416" s="17" t="str">
        <f>IF(B416="","",IFERROR(VLOOKUP(B416,'Reel Register'!$B$4:$L$203,11,FALSE),""))</f>
        <v/>
      </c>
    </row>
    <row r="417" spans="1:7" x14ac:dyDescent="0.45">
      <c r="A417" s="13"/>
      <c r="B417" s="13"/>
      <c r="C417" s="16"/>
      <c r="D417" s="13"/>
      <c r="E417" s="13"/>
      <c r="F417" s="17" t="str">
        <f>IF(B417="","",IFERROR(VLOOKUP(B417,'Reel Register'!$B$4:$K$203,10,FALSE),""))</f>
        <v/>
      </c>
      <c r="G417" s="17" t="str">
        <f>IF(B417="","",IFERROR(VLOOKUP(B417,'Reel Register'!$B$4:$L$203,11,FALSE),""))</f>
        <v/>
      </c>
    </row>
    <row r="418" spans="1:7" x14ac:dyDescent="0.45">
      <c r="A418" s="13"/>
      <c r="B418" s="13"/>
      <c r="C418" s="16"/>
      <c r="D418" s="13"/>
      <c r="E418" s="13"/>
      <c r="F418" s="17" t="str">
        <f>IF(B418="","",IFERROR(VLOOKUP(B418,'Reel Register'!$B$4:$K$203,10,FALSE),""))</f>
        <v/>
      </c>
      <c r="G418" s="17" t="str">
        <f>IF(B418="","",IFERROR(VLOOKUP(B418,'Reel Register'!$B$4:$L$203,11,FALSE),""))</f>
        <v/>
      </c>
    </row>
    <row r="419" spans="1:7" x14ac:dyDescent="0.45">
      <c r="A419" s="13"/>
      <c r="B419" s="13"/>
      <c r="C419" s="16"/>
      <c r="D419" s="13"/>
      <c r="E419" s="13"/>
      <c r="F419" s="17" t="str">
        <f>IF(B419="","",IFERROR(VLOOKUP(B419,'Reel Register'!$B$4:$K$203,10,FALSE),""))</f>
        <v/>
      </c>
      <c r="G419" s="17" t="str">
        <f>IF(B419="","",IFERROR(VLOOKUP(B419,'Reel Register'!$B$4:$L$203,11,FALSE),""))</f>
        <v/>
      </c>
    </row>
    <row r="420" spans="1:7" x14ac:dyDescent="0.45">
      <c r="A420" s="13"/>
      <c r="B420" s="13"/>
      <c r="C420" s="16"/>
      <c r="D420" s="13"/>
      <c r="E420" s="13"/>
      <c r="F420" s="17" t="str">
        <f>IF(B420="","",IFERROR(VLOOKUP(B420,'Reel Register'!$B$4:$K$203,10,FALSE),""))</f>
        <v/>
      </c>
      <c r="G420" s="17" t="str">
        <f>IF(B420="","",IFERROR(VLOOKUP(B420,'Reel Register'!$B$4:$L$203,11,FALSE),""))</f>
        <v/>
      </c>
    </row>
    <row r="421" spans="1:7" x14ac:dyDescent="0.45">
      <c r="A421" s="13"/>
      <c r="B421" s="13"/>
      <c r="C421" s="16"/>
      <c r="D421" s="13"/>
      <c r="E421" s="13"/>
      <c r="F421" s="17" t="str">
        <f>IF(B421="","",IFERROR(VLOOKUP(B421,'Reel Register'!$B$4:$K$203,10,FALSE),""))</f>
        <v/>
      </c>
      <c r="G421" s="17" t="str">
        <f>IF(B421="","",IFERROR(VLOOKUP(B421,'Reel Register'!$B$4:$L$203,11,FALSE),""))</f>
        <v/>
      </c>
    </row>
    <row r="422" spans="1:7" x14ac:dyDescent="0.45">
      <c r="A422" s="13"/>
      <c r="B422" s="13"/>
      <c r="C422" s="16"/>
      <c r="D422" s="13"/>
      <c r="E422" s="13"/>
      <c r="F422" s="17" t="str">
        <f>IF(B422="","",IFERROR(VLOOKUP(B422,'Reel Register'!$B$4:$K$203,10,FALSE),""))</f>
        <v/>
      </c>
      <c r="G422" s="17" t="str">
        <f>IF(B422="","",IFERROR(VLOOKUP(B422,'Reel Register'!$B$4:$L$203,11,FALSE),""))</f>
        <v/>
      </c>
    </row>
    <row r="423" spans="1:7" x14ac:dyDescent="0.45">
      <c r="A423" s="13"/>
      <c r="B423" s="13"/>
      <c r="C423" s="16"/>
      <c r="D423" s="13"/>
      <c r="E423" s="13"/>
      <c r="F423" s="17" t="str">
        <f>IF(B423="","",IFERROR(VLOOKUP(B423,'Reel Register'!$B$4:$K$203,10,FALSE),""))</f>
        <v/>
      </c>
      <c r="G423" s="17" t="str">
        <f>IF(B423="","",IFERROR(VLOOKUP(B423,'Reel Register'!$B$4:$L$203,11,FALSE),""))</f>
        <v/>
      </c>
    </row>
    <row r="424" spans="1:7" x14ac:dyDescent="0.45">
      <c r="A424" s="13"/>
      <c r="B424" s="13"/>
      <c r="C424" s="16"/>
      <c r="D424" s="13"/>
      <c r="E424" s="13"/>
      <c r="F424" s="17" t="str">
        <f>IF(B424="","",IFERROR(VLOOKUP(B424,'Reel Register'!$B$4:$K$203,10,FALSE),""))</f>
        <v/>
      </c>
      <c r="G424" s="17" t="str">
        <f>IF(B424="","",IFERROR(VLOOKUP(B424,'Reel Register'!$B$4:$L$203,11,FALSE),""))</f>
        <v/>
      </c>
    </row>
    <row r="425" spans="1:7" x14ac:dyDescent="0.45">
      <c r="A425" s="13"/>
      <c r="B425" s="13"/>
      <c r="C425" s="16"/>
      <c r="D425" s="13"/>
      <c r="E425" s="13"/>
      <c r="F425" s="17" t="str">
        <f>IF(B425="","",IFERROR(VLOOKUP(B425,'Reel Register'!$B$4:$K$203,10,FALSE),""))</f>
        <v/>
      </c>
      <c r="G425" s="17" t="str">
        <f>IF(B425="","",IFERROR(VLOOKUP(B425,'Reel Register'!$B$4:$L$203,11,FALSE),""))</f>
        <v/>
      </c>
    </row>
    <row r="426" spans="1:7" x14ac:dyDescent="0.45">
      <c r="A426" s="13"/>
      <c r="B426" s="13"/>
      <c r="C426" s="16"/>
      <c r="D426" s="13"/>
      <c r="E426" s="13"/>
      <c r="F426" s="17" t="str">
        <f>IF(B426="","",IFERROR(VLOOKUP(B426,'Reel Register'!$B$4:$K$203,10,FALSE),""))</f>
        <v/>
      </c>
      <c r="G426" s="17" t="str">
        <f>IF(B426="","",IFERROR(VLOOKUP(B426,'Reel Register'!$B$4:$L$203,11,FALSE),""))</f>
        <v/>
      </c>
    </row>
    <row r="427" spans="1:7" x14ac:dyDescent="0.45">
      <c r="A427" s="13"/>
      <c r="B427" s="13"/>
      <c r="C427" s="16"/>
      <c r="D427" s="13"/>
      <c r="E427" s="13"/>
      <c r="F427" s="17" t="str">
        <f>IF(B427="","",IFERROR(VLOOKUP(B427,'Reel Register'!$B$4:$K$203,10,FALSE),""))</f>
        <v/>
      </c>
      <c r="G427" s="17" t="str">
        <f>IF(B427="","",IFERROR(VLOOKUP(B427,'Reel Register'!$B$4:$L$203,11,FALSE),""))</f>
        <v/>
      </c>
    </row>
    <row r="428" spans="1:7" x14ac:dyDescent="0.45">
      <c r="A428" s="13"/>
      <c r="B428" s="13"/>
      <c r="C428" s="16"/>
      <c r="D428" s="13"/>
      <c r="E428" s="13"/>
      <c r="F428" s="17" t="str">
        <f>IF(B428="","",IFERROR(VLOOKUP(B428,'Reel Register'!$B$4:$K$203,10,FALSE),""))</f>
        <v/>
      </c>
      <c r="G428" s="17" t="str">
        <f>IF(B428="","",IFERROR(VLOOKUP(B428,'Reel Register'!$B$4:$L$203,11,FALSE),""))</f>
        <v/>
      </c>
    </row>
    <row r="429" spans="1:7" x14ac:dyDescent="0.45">
      <c r="A429" s="13"/>
      <c r="B429" s="13"/>
      <c r="C429" s="16"/>
      <c r="D429" s="13"/>
      <c r="E429" s="13"/>
      <c r="F429" s="17" t="str">
        <f>IF(B429="","",IFERROR(VLOOKUP(B429,'Reel Register'!$B$4:$K$203,10,FALSE),""))</f>
        <v/>
      </c>
      <c r="G429" s="17" t="str">
        <f>IF(B429="","",IFERROR(VLOOKUP(B429,'Reel Register'!$B$4:$L$203,11,FALSE),""))</f>
        <v/>
      </c>
    </row>
    <row r="430" spans="1:7" x14ac:dyDescent="0.45">
      <c r="A430" s="13"/>
      <c r="B430" s="13"/>
      <c r="C430" s="16"/>
      <c r="D430" s="13"/>
      <c r="E430" s="13"/>
      <c r="F430" s="17" t="str">
        <f>IF(B430="","",IFERROR(VLOOKUP(B430,'Reel Register'!$B$4:$K$203,10,FALSE),""))</f>
        <v/>
      </c>
      <c r="G430" s="17" t="str">
        <f>IF(B430="","",IFERROR(VLOOKUP(B430,'Reel Register'!$B$4:$L$203,11,FALSE),""))</f>
        <v/>
      </c>
    </row>
    <row r="431" spans="1:7" x14ac:dyDescent="0.45">
      <c r="A431" s="13"/>
      <c r="B431" s="13"/>
      <c r="C431" s="16"/>
      <c r="D431" s="13"/>
      <c r="E431" s="13"/>
      <c r="F431" s="17" t="str">
        <f>IF(B431="","",IFERROR(VLOOKUP(B431,'Reel Register'!$B$4:$K$203,10,FALSE),""))</f>
        <v/>
      </c>
      <c r="G431" s="17" t="str">
        <f>IF(B431="","",IFERROR(VLOOKUP(B431,'Reel Register'!$B$4:$L$203,11,FALSE),""))</f>
        <v/>
      </c>
    </row>
    <row r="432" spans="1:7" x14ac:dyDescent="0.45">
      <c r="A432" s="13"/>
      <c r="B432" s="13"/>
      <c r="C432" s="16"/>
      <c r="D432" s="13"/>
      <c r="E432" s="13"/>
      <c r="F432" s="17" t="str">
        <f>IF(B432="","",IFERROR(VLOOKUP(B432,'Reel Register'!$B$4:$K$203,10,FALSE),""))</f>
        <v/>
      </c>
      <c r="G432" s="17" t="str">
        <f>IF(B432="","",IFERROR(VLOOKUP(B432,'Reel Register'!$B$4:$L$203,11,FALSE),""))</f>
        <v/>
      </c>
    </row>
    <row r="433" spans="1:7" x14ac:dyDescent="0.45">
      <c r="A433" s="13"/>
      <c r="B433" s="13"/>
      <c r="C433" s="16"/>
      <c r="D433" s="13"/>
      <c r="E433" s="13"/>
      <c r="F433" s="17" t="str">
        <f>IF(B433="","",IFERROR(VLOOKUP(B433,'Reel Register'!$B$4:$K$203,10,FALSE),""))</f>
        <v/>
      </c>
      <c r="G433" s="17" t="str">
        <f>IF(B433="","",IFERROR(VLOOKUP(B433,'Reel Register'!$B$4:$L$203,11,FALSE),""))</f>
        <v/>
      </c>
    </row>
    <row r="434" spans="1:7" x14ac:dyDescent="0.45">
      <c r="A434" s="13"/>
      <c r="B434" s="13"/>
      <c r="C434" s="16"/>
      <c r="D434" s="13"/>
      <c r="E434" s="13"/>
      <c r="F434" s="17" t="str">
        <f>IF(B434="","",IFERROR(VLOOKUP(B434,'Reel Register'!$B$4:$K$203,10,FALSE),""))</f>
        <v/>
      </c>
      <c r="G434" s="17" t="str">
        <f>IF(B434="","",IFERROR(VLOOKUP(B434,'Reel Register'!$B$4:$L$203,11,FALSE),""))</f>
        <v/>
      </c>
    </row>
    <row r="435" spans="1:7" x14ac:dyDescent="0.45">
      <c r="A435" s="13"/>
      <c r="B435" s="13"/>
      <c r="C435" s="16"/>
      <c r="D435" s="13"/>
      <c r="E435" s="13"/>
      <c r="F435" s="17" t="str">
        <f>IF(B435="","",IFERROR(VLOOKUP(B435,'Reel Register'!$B$4:$K$203,10,FALSE),""))</f>
        <v/>
      </c>
      <c r="G435" s="17" t="str">
        <f>IF(B435="","",IFERROR(VLOOKUP(B435,'Reel Register'!$B$4:$L$203,11,FALSE),""))</f>
        <v/>
      </c>
    </row>
    <row r="436" spans="1:7" x14ac:dyDescent="0.45">
      <c r="A436" s="13"/>
      <c r="B436" s="13"/>
      <c r="C436" s="16"/>
      <c r="D436" s="13"/>
      <c r="E436" s="13"/>
      <c r="F436" s="17" t="str">
        <f>IF(B436="","",IFERROR(VLOOKUP(B436,'Reel Register'!$B$4:$K$203,10,FALSE),""))</f>
        <v/>
      </c>
      <c r="G436" s="17" t="str">
        <f>IF(B436="","",IFERROR(VLOOKUP(B436,'Reel Register'!$B$4:$L$203,11,FALSE),""))</f>
        <v/>
      </c>
    </row>
    <row r="437" spans="1:7" x14ac:dyDescent="0.45">
      <c r="A437" s="13"/>
      <c r="B437" s="13"/>
      <c r="C437" s="16"/>
      <c r="D437" s="13"/>
      <c r="E437" s="13"/>
      <c r="F437" s="17" t="str">
        <f>IF(B437="","",IFERROR(VLOOKUP(B437,'Reel Register'!$B$4:$K$203,10,FALSE),""))</f>
        <v/>
      </c>
      <c r="G437" s="17" t="str">
        <f>IF(B437="","",IFERROR(VLOOKUP(B437,'Reel Register'!$B$4:$L$203,11,FALSE),""))</f>
        <v/>
      </c>
    </row>
    <row r="438" spans="1:7" x14ac:dyDescent="0.45">
      <c r="A438" s="13"/>
      <c r="B438" s="13"/>
      <c r="C438" s="16"/>
      <c r="D438" s="13"/>
      <c r="E438" s="13"/>
      <c r="F438" s="17" t="str">
        <f>IF(B438="","",IFERROR(VLOOKUP(B438,'Reel Register'!$B$4:$K$203,10,FALSE),""))</f>
        <v/>
      </c>
      <c r="G438" s="17" t="str">
        <f>IF(B438="","",IFERROR(VLOOKUP(B438,'Reel Register'!$B$4:$L$203,11,FALSE),""))</f>
        <v/>
      </c>
    </row>
    <row r="439" spans="1:7" x14ac:dyDescent="0.45">
      <c r="A439" s="13"/>
      <c r="B439" s="13"/>
      <c r="C439" s="16"/>
      <c r="D439" s="13"/>
      <c r="E439" s="13"/>
      <c r="F439" s="17" t="str">
        <f>IF(B439="","",IFERROR(VLOOKUP(B439,'Reel Register'!$B$4:$K$203,10,FALSE),""))</f>
        <v/>
      </c>
      <c r="G439" s="17" t="str">
        <f>IF(B439="","",IFERROR(VLOOKUP(B439,'Reel Register'!$B$4:$L$203,11,FALSE),""))</f>
        <v/>
      </c>
    </row>
    <row r="440" spans="1:7" x14ac:dyDescent="0.45">
      <c r="A440" s="13"/>
      <c r="B440" s="13"/>
      <c r="C440" s="16"/>
      <c r="D440" s="13"/>
      <c r="E440" s="13"/>
      <c r="F440" s="17" t="str">
        <f>IF(B440="","",IFERROR(VLOOKUP(B440,'Reel Register'!$B$4:$K$203,10,FALSE),""))</f>
        <v/>
      </c>
      <c r="G440" s="17" t="str">
        <f>IF(B440="","",IFERROR(VLOOKUP(B440,'Reel Register'!$B$4:$L$203,11,FALSE),""))</f>
        <v/>
      </c>
    </row>
    <row r="441" spans="1:7" x14ac:dyDescent="0.45">
      <c r="A441" s="13"/>
      <c r="B441" s="13"/>
      <c r="C441" s="16"/>
      <c r="D441" s="13"/>
      <c r="E441" s="13"/>
      <c r="F441" s="17" t="str">
        <f>IF(B441="","",IFERROR(VLOOKUP(B441,'Reel Register'!$B$4:$K$203,10,FALSE),""))</f>
        <v/>
      </c>
      <c r="G441" s="17" t="str">
        <f>IF(B441="","",IFERROR(VLOOKUP(B441,'Reel Register'!$B$4:$L$203,11,FALSE),""))</f>
        <v/>
      </c>
    </row>
    <row r="442" spans="1:7" x14ac:dyDescent="0.45">
      <c r="A442" s="13"/>
      <c r="B442" s="13"/>
      <c r="C442" s="16"/>
      <c r="D442" s="13"/>
      <c r="E442" s="13"/>
      <c r="F442" s="17" t="str">
        <f>IF(B442="","",IFERROR(VLOOKUP(B442,'Reel Register'!$B$4:$K$203,10,FALSE),""))</f>
        <v/>
      </c>
      <c r="G442" s="17" t="str">
        <f>IF(B442="","",IFERROR(VLOOKUP(B442,'Reel Register'!$B$4:$L$203,11,FALSE),""))</f>
        <v/>
      </c>
    </row>
    <row r="443" spans="1:7" x14ac:dyDescent="0.45">
      <c r="A443" s="13"/>
      <c r="B443" s="13"/>
      <c r="C443" s="16"/>
      <c r="D443" s="13"/>
      <c r="E443" s="13"/>
      <c r="F443" s="17" t="str">
        <f>IF(B443="","",IFERROR(VLOOKUP(B443,'Reel Register'!$B$4:$K$203,10,FALSE),""))</f>
        <v/>
      </c>
      <c r="G443" s="17" t="str">
        <f>IF(B443="","",IFERROR(VLOOKUP(B443,'Reel Register'!$B$4:$L$203,11,FALSE),""))</f>
        <v/>
      </c>
    </row>
    <row r="444" spans="1:7" x14ac:dyDescent="0.45">
      <c r="A444" s="13"/>
      <c r="B444" s="13"/>
      <c r="C444" s="16"/>
      <c r="D444" s="13"/>
      <c r="E444" s="13"/>
      <c r="F444" s="17" t="str">
        <f>IF(B444="","",IFERROR(VLOOKUP(B444,'Reel Register'!$B$4:$K$203,10,FALSE),""))</f>
        <v/>
      </c>
      <c r="G444" s="17" t="str">
        <f>IF(B444="","",IFERROR(VLOOKUP(B444,'Reel Register'!$B$4:$L$203,11,FALSE),""))</f>
        <v/>
      </c>
    </row>
    <row r="445" spans="1:7" x14ac:dyDescent="0.45">
      <c r="A445" s="13"/>
      <c r="B445" s="13"/>
      <c r="C445" s="16"/>
      <c r="D445" s="13"/>
      <c r="E445" s="13"/>
      <c r="F445" s="17" t="str">
        <f>IF(B445="","",IFERROR(VLOOKUP(B445,'Reel Register'!$B$4:$K$203,10,FALSE),""))</f>
        <v/>
      </c>
      <c r="G445" s="17" t="str">
        <f>IF(B445="","",IFERROR(VLOOKUP(B445,'Reel Register'!$B$4:$L$203,11,FALSE),""))</f>
        <v/>
      </c>
    </row>
    <row r="446" spans="1:7" x14ac:dyDescent="0.45">
      <c r="A446" s="13"/>
      <c r="B446" s="13"/>
      <c r="C446" s="16"/>
      <c r="D446" s="13"/>
      <c r="E446" s="13"/>
      <c r="F446" s="17" t="str">
        <f>IF(B446="","",IFERROR(VLOOKUP(B446,'Reel Register'!$B$4:$K$203,10,FALSE),""))</f>
        <v/>
      </c>
      <c r="G446" s="17" t="str">
        <f>IF(B446="","",IFERROR(VLOOKUP(B446,'Reel Register'!$B$4:$L$203,11,FALSE),""))</f>
        <v/>
      </c>
    </row>
    <row r="447" spans="1:7" x14ac:dyDescent="0.45">
      <c r="A447" s="13"/>
      <c r="B447" s="13"/>
      <c r="C447" s="16"/>
      <c r="D447" s="13"/>
      <c r="E447" s="13"/>
      <c r="F447" s="17" t="str">
        <f>IF(B447="","",IFERROR(VLOOKUP(B447,'Reel Register'!$B$4:$K$203,10,FALSE),""))</f>
        <v/>
      </c>
      <c r="G447" s="17" t="str">
        <f>IF(B447="","",IFERROR(VLOOKUP(B447,'Reel Register'!$B$4:$L$203,11,FALSE),""))</f>
        <v/>
      </c>
    </row>
    <row r="448" spans="1:7" x14ac:dyDescent="0.45">
      <c r="A448" s="13"/>
      <c r="B448" s="13"/>
      <c r="C448" s="16"/>
      <c r="D448" s="13"/>
      <c r="E448" s="13"/>
      <c r="F448" s="17" t="str">
        <f>IF(B448="","",IFERROR(VLOOKUP(B448,'Reel Register'!$B$4:$K$203,10,FALSE),""))</f>
        <v/>
      </c>
      <c r="G448" s="17" t="str">
        <f>IF(B448="","",IFERROR(VLOOKUP(B448,'Reel Register'!$B$4:$L$203,11,FALSE),""))</f>
        <v/>
      </c>
    </row>
    <row r="449" spans="1:7" x14ac:dyDescent="0.45">
      <c r="A449" s="13"/>
      <c r="B449" s="13"/>
      <c r="C449" s="16"/>
      <c r="D449" s="13"/>
      <c r="E449" s="13"/>
      <c r="F449" s="17" t="str">
        <f>IF(B449="","",IFERROR(VLOOKUP(B449,'Reel Register'!$B$4:$K$203,10,FALSE),""))</f>
        <v/>
      </c>
      <c r="G449" s="17" t="str">
        <f>IF(B449="","",IFERROR(VLOOKUP(B449,'Reel Register'!$B$4:$L$203,11,FALSE),""))</f>
        <v/>
      </c>
    </row>
    <row r="450" spans="1:7" x14ac:dyDescent="0.45">
      <c r="A450" s="13"/>
      <c r="B450" s="13"/>
      <c r="C450" s="16"/>
      <c r="D450" s="13"/>
      <c r="E450" s="13"/>
      <c r="F450" s="17" t="str">
        <f>IF(B450="","",IFERROR(VLOOKUP(B450,'Reel Register'!$B$4:$K$203,10,FALSE),""))</f>
        <v/>
      </c>
      <c r="G450" s="17" t="str">
        <f>IF(B450="","",IFERROR(VLOOKUP(B450,'Reel Register'!$B$4:$L$203,11,FALSE),""))</f>
        <v/>
      </c>
    </row>
    <row r="451" spans="1:7" x14ac:dyDescent="0.45">
      <c r="A451" s="13"/>
      <c r="B451" s="13"/>
      <c r="C451" s="16"/>
      <c r="D451" s="13"/>
      <c r="E451" s="13"/>
      <c r="F451" s="17" t="str">
        <f>IF(B451="","",IFERROR(VLOOKUP(B451,'Reel Register'!$B$4:$K$203,10,FALSE),""))</f>
        <v/>
      </c>
      <c r="G451" s="17" t="str">
        <f>IF(B451="","",IFERROR(VLOOKUP(B451,'Reel Register'!$B$4:$L$203,11,FALSE),""))</f>
        <v/>
      </c>
    </row>
    <row r="452" spans="1:7" x14ac:dyDescent="0.45">
      <c r="A452" s="13"/>
      <c r="B452" s="13"/>
      <c r="C452" s="16"/>
      <c r="D452" s="13"/>
      <c r="E452" s="13"/>
      <c r="F452" s="17" t="str">
        <f>IF(B452="","",IFERROR(VLOOKUP(B452,'Reel Register'!$B$4:$K$203,10,FALSE),""))</f>
        <v/>
      </c>
      <c r="G452" s="17" t="str">
        <f>IF(B452="","",IFERROR(VLOOKUP(B452,'Reel Register'!$B$4:$L$203,11,FALSE),""))</f>
        <v/>
      </c>
    </row>
    <row r="453" spans="1:7" x14ac:dyDescent="0.45">
      <c r="A453" s="13"/>
      <c r="B453" s="13"/>
      <c r="C453" s="16"/>
      <c r="D453" s="13"/>
      <c r="E453" s="13"/>
      <c r="F453" s="17" t="str">
        <f>IF(B453="","",IFERROR(VLOOKUP(B453,'Reel Register'!$B$4:$K$203,10,FALSE),""))</f>
        <v/>
      </c>
      <c r="G453" s="17" t="str">
        <f>IF(B453="","",IFERROR(VLOOKUP(B453,'Reel Register'!$B$4:$L$203,11,FALSE),""))</f>
        <v/>
      </c>
    </row>
    <row r="454" spans="1:7" x14ac:dyDescent="0.45">
      <c r="A454" s="13"/>
      <c r="B454" s="13"/>
      <c r="C454" s="16"/>
      <c r="D454" s="13"/>
      <c r="E454" s="13"/>
      <c r="F454" s="17" t="str">
        <f>IF(B454="","",IFERROR(VLOOKUP(B454,'Reel Register'!$B$4:$K$203,10,FALSE),""))</f>
        <v/>
      </c>
      <c r="G454" s="17" t="str">
        <f>IF(B454="","",IFERROR(VLOOKUP(B454,'Reel Register'!$B$4:$L$203,11,FALSE),""))</f>
        <v/>
      </c>
    </row>
    <row r="455" spans="1:7" x14ac:dyDescent="0.45">
      <c r="A455" s="13"/>
      <c r="B455" s="13"/>
      <c r="C455" s="16"/>
      <c r="D455" s="13"/>
      <c r="E455" s="13"/>
      <c r="F455" s="17" t="str">
        <f>IF(B455="","",IFERROR(VLOOKUP(B455,'Reel Register'!$B$4:$K$203,10,FALSE),""))</f>
        <v/>
      </c>
      <c r="G455" s="17" t="str">
        <f>IF(B455="","",IFERROR(VLOOKUP(B455,'Reel Register'!$B$4:$L$203,11,FALSE),""))</f>
        <v/>
      </c>
    </row>
    <row r="456" spans="1:7" x14ac:dyDescent="0.45">
      <c r="A456" s="13"/>
      <c r="B456" s="13"/>
      <c r="C456" s="16"/>
      <c r="D456" s="13"/>
      <c r="E456" s="13"/>
      <c r="F456" s="17" t="str">
        <f>IF(B456="","",IFERROR(VLOOKUP(B456,'Reel Register'!$B$4:$K$203,10,FALSE),""))</f>
        <v/>
      </c>
      <c r="G456" s="17" t="str">
        <f>IF(B456="","",IFERROR(VLOOKUP(B456,'Reel Register'!$B$4:$L$203,11,FALSE),""))</f>
        <v/>
      </c>
    </row>
    <row r="457" spans="1:7" x14ac:dyDescent="0.45">
      <c r="A457" s="13"/>
      <c r="B457" s="13"/>
      <c r="C457" s="16"/>
      <c r="D457" s="13"/>
      <c r="E457" s="13"/>
      <c r="F457" s="17" t="str">
        <f>IF(B457="","",IFERROR(VLOOKUP(B457,'Reel Register'!$B$4:$K$203,10,FALSE),""))</f>
        <v/>
      </c>
      <c r="G457" s="17" t="str">
        <f>IF(B457="","",IFERROR(VLOOKUP(B457,'Reel Register'!$B$4:$L$203,11,FALSE),""))</f>
        <v/>
      </c>
    </row>
    <row r="458" spans="1:7" x14ac:dyDescent="0.45">
      <c r="A458" s="13"/>
      <c r="B458" s="13"/>
      <c r="C458" s="16"/>
      <c r="D458" s="13"/>
      <c r="E458" s="13"/>
      <c r="F458" s="17" t="str">
        <f>IF(B458="","",IFERROR(VLOOKUP(B458,'Reel Register'!$B$4:$K$203,10,FALSE),""))</f>
        <v/>
      </c>
      <c r="G458" s="17" t="str">
        <f>IF(B458="","",IFERROR(VLOOKUP(B458,'Reel Register'!$B$4:$L$203,11,FALSE),""))</f>
        <v/>
      </c>
    </row>
    <row r="459" spans="1:7" x14ac:dyDescent="0.45">
      <c r="A459" s="13"/>
      <c r="B459" s="13"/>
      <c r="C459" s="16"/>
      <c r="D459" s="13"/>
      <c r="E459" s="13"/>
      <c r="F459" s="17" t="str">
        <f>IF(B459="","",IFERROR(VLOOKUP(B459,'Reel Register'!$B$4:$K$203,10,FALSE),""))</f>
        <v/>
      </c>
      <c r="G459" s="17" t="str">
        <f>IF(B459="","",IFERROR(VLOOKUP(B459,'Reel Register'!$B$4:$L$203,11,FALSE),""))</f>
        <v/>
      </c>
    </row>
    <row r="460" spans="1:7" x14ac:dyDescent="0.45">
      <c r="A460" s="13"/>
      <c r="B460" s="13"/>
      <c r="C460" s="16"/>
      <c r="D460" s="13"/>
      <c r="E460" s="13"/>
      <c r="F460" s="17" t="str">
        <f>IF(B460="","",IFERROR(VLOOKUP(B460,'Reel Register'!$B$4:$K$203,10,FALSE),""))</f>
        <v/>
      </c>
      <c r="G460" s="17" t="str">
        <f>IF(B460="","",IFERROR(VLOOKUP(B460,'Reel Register'!$B$4:$L$203,11,FALSE),""))</f>
        <v/>
      </c>
    </row>
    <row r="461" spans="1:7" x14ac:dyDescent="0.45">
      <c r="A461" s="13"/>
      <c r="B461" s="13"/>
      <c r="C461" s="16"/>
      <c r="D461" s="13"/>
      <c r="E461" s="13"/>
      <c r="F461" s="17" t="str">
        <f>IF(B461="","",IFERROR(VLOOKUP(B461,'Reel Register'!$B$4:$K$203,10,FALSE),""))</f>
        <v/>
      </c>
      <c r="G461" s="17" t="str">
        <f>IF(B461="","",IFERROR(VLOOKUP(B461,'Reel Register'!$B$4:$L$203,11,FALSE),""))</f>
        <v/>
      </c>
    </row>
    <row r="462" spans="1:7" x14ac:dyDescent="0.45">
      <c r="A462" s="13"/>
      <c r="B462" s="13"/>
      <c r="C462" s="16"/>
      <c r="D462" s="13"/>
      <c r="E462" s="13"/>
      <c r="F462" s="17" t="str">
        <f>IF(B462="","",IFERROR(VLOOKUP(B462,'Reel Register'!$B$4:$K$203,10,FALSE),""))</f>
        <v/>
      </c>
      <c r="G462" s="17" t="str">
        <f>IF(B462="","",IFERROR(VLOOKUP(B462,'Reel Register'!$B$4:$L$203,11,FALSE),""))</f>
        <v/>
      </c>
    </row>
    <row r="463" spans="1:7" x14ac:dyDescent="0.45">
      <c r="A463" s="13"/>
      <c r="B463" s="13"/>
      <c r="C463" s="16"/>
      <c r="D463" s="13"/>
      <c r="E463" s="13"/>
      <c r="F463" s="17" t="str">
        <f>IF(B463="","",IFERROR(VLOOKUP(B463,'Reel Register'!$B$4:$K$203,10,FALSE),""))</f>
        <v/>
      </c>
      <c r="G463" s="17" t="str">
        <f>IF(B463="","",IFERROR(VLOOKUP(B463,'Reel Register'!$B$4:$L$203,11,FALSE),""))</f>
        <v/>
      </c>
    </row>
    <row r="464" spans="1:7" x14ac:dyDescent="0.45">
      <c r="A464" s="13"/>
      <c r="B464" s="13"/>
      <c r="C464" s="16"/>
      <c r="D464" s="13"/>
      <c r="E464" s="13"/>
      <c r="F464" s="17" t="str">
        <f>IF(B464="","",IFERROR(VLOOKUP(B464,'Reel Register'!$B$4:$K$203,10,FALSE),""))</f>
        <v/>
      </c>
      <c r="G464" s="17" t="str">
        <f>IF(B464="","",IFERROR(VLOOKUP(B464,'Reel Register'!$B$4:$L$203,11,FALSE),""))</f>
        <v/>
      </c>
    </row>
    <row r="465" spans="1:7" x14ac:dyDescent="0.45">
      <c r="A465" s="13"/>
      <c r="B465" s="13"/>
      <c r="C465" s="16"/>
      <c r="D465" s="13"/>
      <c r="E465" s="13"/>
      <c r="F465" s="17" t="str">
        <f>IF(B465="","",IFERROR(VLOOKUP(B465,'Reel Register'!$B$4:$K$203,10,FALSE),""))</f>
        <v/>
      </c>
      <c r="G465" s="17" t="str">
        <f>IF(B465="","",IFERROR(VLOOKUP(B465,'Reel Register'!$B$4:$L$203,11,FALSE),""))</f>
        <v/>
      </c>
    </row>
    <row r="466" spans="1:7" x14ac:dyDescent="0.45">
      <c r="A466" s="13"/>
      <c r="B466" s="13"/>
      <c r="C466" s="16"/>
      <c r="D466" s="13"/>
      <c r="E466" s="13"/>
      <c r="F466" s="17" t="str">
        <f>IF(B466="","",IFERROR(VLOOKUP(B466,'Reel Register'!$B$4:$K$203,10,FALSE),""))</f>
        <v/>
      </c>
      <c r="G466" s="17" t="str">
        <f>IF(B466="","",IFERROR(VLOOKUP(B466,'Reel Register'!$B$4:$L$203,11,FALSE),""))</f>
        <v/>
      </c>
    </row>
    <row r="467" spans="1:7" x14ac:dyDescent="0.45">
      <c r="A467" s="13"/>
      <c r="B467" s="13"/>
      <c r="C467" s="16"/>
      <c r="D467" s="13"/>
      <c r="E467" s="13"/>
      <c r="F467" s="17" t="str">
        <f>IF(B467="","",IFERROR(VLOOKUP(B467,'Reel Register'!$B$4:$K$203,10,FALSE),""))</f>
        <v/>
      </c>
      <c r="G467" s="17" t="str">
        <f>IF(B467="","",IFERROR(VLOOKUP(B467,'Reel Register'!$B$4:$L$203,11,FALSE),""))</f>
        <v/>
      </c>
    </row>
    <row r="468" spans="1:7" x14ac:dyDescent="0.45">
      <c r="A468" s="13"/>
      <c r="B468" s="13"/>
      <c r="C468" s="16"/>
      <c r="D468" s="13"/>
      <c r="E468" s="13"/>
      <c r="F468" s="17" t="str">
        <f>IF(B468="","",IFERROR(VLOOKUP(B468,'Reel Register'!$B$4:$K$203,10,FALSE),""))</f>
        <v/>
      </c>
      <c r="G468" s="17" t="str">
        <f>IF(B468="","",IFERROR(VLOOKUP(B468,'Reel Register'!$B$4:$L$203,11,FALSE),""))</f>
        <v/>
      </c>
    </row>
    <row r="469" spans="1:7" x14ac:dyDescent="0.45">
      <c r="A469" s="13"/>
      <c r="B469" s="13"/>
      <c r="C469" s="16"/>
      <c r="D469" s="13"/>
      <c r="E469" s="13"/>
      <c r="F469" s="17" t="str">
        <f>IF(B469="","",IFERROR(VLOOKUP(B469,'Reel Register'!$B$4:$K$203,10,FALSE),""))</f>
        <v/>
      </c>
      <c r="G469" s="17" t="str">
        <f>IF(B469="","",IFERROR(VLOOKUP(B469,'Reel Register'!$B$4:$L$203,11,FALSE),""))</f>
        <v/>
      </c>
    </row>
    <row r="470" spans="1:7" x14ac:dyDescent="0.45">
      <c r="A470" s="13"/>
      <c r="B470" s="13"/>
      <c r="C470" s="16"/>
      <c r="D470" s="13"/>
      <c r="E470" s="13"/>
      <c r="F470" s="17" t="str">
        <f>IF(B470="","",IFERROR(VLOOKUP(B470,'Reel Register'!$B$4:$K$203,10,FALSE),""))</f>
        <v/>
      </c>
      <c r="G470" s="17" t="str">
        <f>IF(B470="","",IFERROR(VLOOKUP(B470,'Reel Register'!$B$4:$L$203,11,FALSE),""))</f>
        <v/>
      </c>
    </row>
    <row r="471" spans="1:7" x14ac:dyDescent="0.45">
      <c r="A471" s="13"/>
      <c r="B471" s="13"/>
      <c r="C471" s="16"/>
      <c r="D471" s="13"/>
      <c r="E471" s="13"/>
      <c r="F471" s="17" t="str">
        <f>IF(B471="","",IFERROR(VLOOKUP(B471,'Reel Register'!$B$4:$K$203,10,FALSE),""))</f>
        <v/>
      </c>
      <c r="G471" s="17" t="str">
        <f>IF(B471="","",IFERROR(VLOOKUP(B471,'Reel Register'!$B$4:$L$203,11,FALSE),""))</f>
        <v/>
      </c>
    </row>
    <row r="472" spans="1:7" x14ac:dyDescent="0.45">
      <c r="A472" s="13"/>
      <c r="B472" s="13"/>
      <c r="C472" s="16"/>
      <c r="D472" s="13"/>
      <c r="E472" s="13"/>
      <c r="F472" s="17" t="str">
        <f>IF(B472="","",IFERROR(VLOOKUP(B472,'Reel Register'!$B$4:$K$203,10,FALSE),""))</f>
        <v/>
      </c>
      <c r="G472" s="17" t="str">
        <f>IF(B472="","",IFERROR(VLOOKUP(B472,'Reel Register'!$B$4:$L$203,11,FALSE),""))</f>
        <v/>
      </c>
    </row>
    <row r="473" spans="1:7" x14ac:dyDescent="0.45">
      <c r="A473" s="13"/>
      <c r="B473" s="13"/>
      <c r="C473" s="16"/>
      <c r="D473" s="13"/>
      <c r="E473" s="13"/>
      <c r="F473" s="17" t="str">
        <f>IF(B473="","",IFERROR(VLOOKUP(B473,'Reel Register'!$B$4:$K$203,10,FALSE),""))</f>
        <v/>
      </c>
      <c r="G473" s="17" t="str">
        <f>IF(B473="","",IFERROR(VLOOKUP(B473,'Reel Register'!$B$4:$L$203,11,FALSE),""))</f>
        <v/>
      </c>
    </row>
    <row r="474" spans="1:7" x14ac:dyDescent="0.45">
      <c r="A474" s="13"/>
      <c r="B474" s="13"/>
      <c r="C474" s="16"/>
      <c r="D474" s="13"/>
      <c r="E474" s="13"/>
      <c r="F474" s="17" t="str">
        <f>IF(B474="","",IFERROR(VLOOKUP(B474,'Reel Register'!$B$4:$K$203,10,FALSE),""))</f>
        <v/>
      </c>
      <c r="G474" s="17" t="str">
        <f>IF(B474="","",IFERROR(VLOOKUP(B474,'Reel Register'!$B$4:$L$203,11,FALSE),""))</f>
        <v/>
      </c>
    </row>
    <row r="475" spans="1:7" x14ac:dyDescent="0.45">
      <c r="A475" s="13"/>
      <c r="B475" s="13"/>
      <c r="C475" s="16"/>
      <c r="D475" s="13"/>
      <c r="E475" s="13"/>
      <c r="F475" s="17" t="str">
        <f>IF(B475="","",IFERROR(VLOOKUP(B475,'Reel Register'!$B$4:$K$203,10,FALSE),""))</f>
        <v/>
      </c>
      <c r="G475" s="17" t="str">
        <f>IF(B475="","",IFERROR(VLOOKUP(B475,'Reel Register'!$B$4:$L$203,11,FALSE),""))</f>
        <v/>
      </c>
    </row>
    <row r="476" spans="1:7" x14ac:dyDescent="0.45">
      <c r="A476" s="13"/>
      <c r="B476" s="13"/>
      <c r="C476" s="16"/>
      <c r="D476" s="13"/>
      <c r="E476" s="13"/>
      <c r="F476" s="17" t="str">
        <f>IF(B476="","",IFERROR(VLOOKUP(B476,'Reel Register'!$B$4:$K$203,10,FALSE),""))</f>
        <v/>
      </c>
      <c r="G476" s="17" t="str">
        <f>IF(B476="","",IFERROR(VLOOKUP(B476,'Reel Register'!$B$4:$L$203,11,FALSE),""))</f>
        <v/>
      </c>
    </row>
    <row r="477" spans="1:7" x14ac:dyDescent="0.45">
      <c r="A477" s="13"/>
      <c r="B477" s="13"/>
      <c r="C477" s="16"/>
      <c r="D477" s="13"/>
      <c r="E477" s="13"/>
      <c r="F477" s="17" t="str">
        <f>IF(B477="","",IFERROR(VLOOKUP(B477,'Reel Register'!$B$4:$K$203,10,FALSE),""))</f>
        <v/>
      </c>
      <c r="G477" s="17" t="str">
        <f>IF(B477="","",IFERROR(VLOOKUP(B477,'Reel Register'!$B$4:$L$203,11,FALSE),""))</f>
        <v/>
      </c>
    </row>
    <row r="478" spans="1:7" x14ac:dyDescent="0.45">
      <c r="A478" s="13"/>
      <c r="B478" s="13"/>
      <c r="C478" s="16"/>
      <c r="D478" s="13"/>
      <c r="E478" s="13"/>
      <c r="F478" s="17" t="str">
        <f>IF(B478="","",IFERROR(VLOOKUP(B478,'Reel Register'!$B$4:$K$203,10,FALSE),""))</f>
        <v/>
      </c>
      <c r="G478" s="17" t="str">
        <f>IF(B478="","",IFERROR(VLOOKUP(B478,'Reel Register'!$B$4:$L$203,11,FALSE),""))</f>
        <v/>
      </c>
    </row>
    <row r="479" spans="1:7" x14ac:dyDescent="0.45">
      <c r="A479" s="13"/>
      <c r="B479" s="13"/>
      <c r="C479" s="16"/>
      <c r="D479" s="13"/>
      <c r="E479" s="13"/>
      <c r="F479" s="17" t="str">
        <f>IF(B479="","",IFERROR(VLOOKUP(B479,'Reel Register'!$B$4:$K$203,10,FALSE),""))</f>
        <v/>
      </c>
      <c r="G479" s="17" t="str">
        <f>IF(B479="","",IFERROR(VLOOKUP(B479,'Reel Register'!$B$4:$L$203,11,FALSE),""))</f>
        <v/>
      </c>
    </row>
    <row r="480" spans="1:7" x14ac:dyDescent="0.45">
      <c r="A480" s="13"/>
      <c r="B480" s="13"/>
      <c r="C480" s="16"/>
      <c r="D480" s="13"/>
      <c r="E480" s="13"/>
      <c r="F480" s="17" t="str">
        <f>IF(B480="","",IFERROR(VLOOKUP(B480,'Reel Register'!$B$4:$K$203,10,FALSE),""))</f>
        <v/>
      </c>
      <c r="G480" s="17" t="str">
        <f>IF(B480="","",IFERROR(VLOOKUP(B480,'Reel Register'!$B$4:$L$203,11,FALSE),""))</f>
        <v/>
      </c>
    </row>
    <row r="481" spans="1:7" x14ac:dyDescent="0.45">
      <c r="A481" s="13"/>
      <c r="B481" s="13"/>
      <c r="C481" s="16"/>
      <c r="D481" s="13"/>
      <c r="E481" s="13"/>
      <c r="F481" s="17" t="str">
        <f>IF(B481="","",IFERROR(VLOOKUP(B481,'Reel Register'!$B$4:$K$203,10,FALSE),""))</f>
        <v/>
      </c>
      <c r="G481" s="17" t="str">
        <f>IF(B481="","",IFERROR(VLOOKUP(B481,'Reel Register'!$B$4:$L$203,11,FALSE),""))</f>
        <v/>
      </c>
    </row>
    <row r="482" spans="1:7" x14ac:dyDescent="0.45">
      <c r="A482" s="13"/>
      <c r="B482" s="13"/>
      <c r="C482" s="16"/>
      <c r="D482" s="13"/>
      <c r="E482" s="13"/>
      <c r="F482" s="17" t="str">
        <f>IF(B482="","",IFERROR(VLOOKUP(B482,'Reel Register'!$B$4:$K$203,10,FALSE),""))</f>
        <v/>
      </c>
      <c r="G482" s="17" t="str">
        <f>IF(B482="","",IFERROR(VLOOKUP(B482,'Reel Register'!$B$4:$L$203,11,FALSE),""))</f>
        <v/>
      </c>
    </row>
    <row r="483" spans="1:7" x14ac:dyDescent="0.45">
      <c r="A483" s="13"/>
      <c r="B483" s="13"/>
      <c r="C483" s="16"/>
      <c r="D483" s="13"/>
      <c r="E483" s="13"/>
      <c r="F483" s="17" t="str">
        <f>IF(B483="","",IFERROR(VLOOKUP(B483,'Reel Register'!$B$4:$K$203,10,FALSE),""))</f>
        <v/>
      </c>
      <c r="G483" s="17" t="str">
        <f>IF(B483="","",IFERROR(VLOOKUP(B483,'Reel Register'!$B$4:$L$203,11,FALSE),""))</f>
        <v/>
      </c>
    </row>
    <row r="484" spans="1:7" x14ac:dyDescent="0.45">
      <c r="A484" s="13"/>
      <c r="B484" s="13"/>
      <c r="C484" s="16"/>
      <c r="D484" s="13"/>
      <c r="E484" s="13"/>
      <c r="F484" s="17" t="str">
        <f>IF(B484="","",IFERROR(VLOOKUP(B484,'Reel Register'!$B$4:$K$203,10,FALSE),""))</f>
        <v/>
      </c>
      <c r="G484" s="17" t="str">
        <f>IF(B484="","",IFERROR(VLOOKUP(B484,'Reel Register'!$B$4:$L$203,11,FALSE),""))</f>
        <v/>
      </c>
    </row>
    <row r="485" spans="1:7" x14ac:dyDescent="0.45">
      <c r="A485" s="13"/>
      <c r="B485" s="13"/>
      <c r="C485" s="16"/>
      <c r="D485" s="13"/>
      <c r="E485" s="13"/>
      <c r="F485" s="17" t="str">
        <f>IF(B485="","",IFERROR(VLOOKUP(B485,'Reel Register'!$B$4:$K$203,10,FALSE),""))</f>
        <v/>
      </c>
      <c r="G485" s="17" t="str">
        <f>IF(B485="","",IFERROR(VLOOKUP(B485,'Reel Register'!$B$4:$L$203,11,FALSE),""))</f>
        <v/>
      </c>
    </row>
    <row r="486" spans="1:7" x14ac:dyDescent="0.45">
      <c r="A486" s="13"/>
      <c r="B486" s="13"/>
      <c r="C486" s="16"/>
      <c r="D486" s="13"/>
      <c r="E486" s="13"/>
      <c r="F486" s="17" t="str">
        <f>IF(B486="","",IFERROR(VLOOKUP(B486,'Reel Register'!$B$4:$K$203,10,FALSE),""))</f>
        <v/>
      </c>
      <c r="G486" s="17" t="str">
        <f>IF(B486="","",IFERROR(VLOOKUP(B486,'Reel Register'!$B$4:$L$203,11,FALSE),""))</f>
        <v/>
      </c>
    </row>
    <row r="487" spans="1:7" x14ac:dyDescent="0.45">
      <c r="A487" s="13"/>
      <c r="B487" s="13"/>
      <c r="C487" s="16"/>
      <c r="D487" s="13"/>
      <c r="E487" s="13"/>
      <c r="F487" s="17" t="str">
        <f>IF(B487="","",IFERROR(VLOOKUP(B487,'Reel Register'!$B$4:$K$203,10,FALSE),""))</f>
        <v/>
      </c>
      <c r="G487" s="17" t="str">
        <f>IF(B487="","",IFERROR(VLOOKUP(B487,'Reel Register'!$B$4:$L$203,11,FALSE),""))</f>
        <v/>
      </c>
    </row>
    <row r="488" spans="1:7" x14ac:dyDescent="0.45">
      <c r="A488" s="13"/>
      <c r="B488" s="13"/>
      <c r="C488" s="16"/>
      <c r="D488" s="13"/>
      <c r="E488" s="13"/>
      <c r="F488" s="17" t="str">
        <f>IF(B488="","",IFERROR(VLOOKUP(B488,'Reel Register'!$B$4:$K$203,10,FALSE),""))</f>
        <v/>
      </c>
      <c r="G488" s="17" t="str">
        <f>IF(B488="","",IFERROR(VLOOKUP(B488,'Reel Register'!$B$4:$L$203,11,FALSE),""))</f>
        <v/>
      </c>
    </row>
    <row r="489" spans="1:7" x14ac:dyDescent="0.45">
      <c r="A489" s="13"/>
      <c r="B489" s="13"/>
      <c r="C489" s="16"/>
      <c r="D489" s="13"/>
      <c r="E489" s="13"/>
      <c r="F489" s="17" t="str">
        <f>IF(B489="","",IFERROR(VLOOKUP(B489,'Reel Register'!$B$4:$K$203,10,FALSE),""))</f>
        <v/>
      </c>
      <c r="G489" s="17" t="str">
        <f>IF(B489="","",IFERROR(VLOOKUP(B489,'Reel Register'!$B$4:$L$203,11,FALSE),""))</f>
        <v/>
      </c>
    </row>
    <row r="490" spans="1:7" x14ac:dyDescent="0.45">
      <c r="A490" s="13"/>
      <c r="B490" s="13"/>
      <c r="C490" s="16"/>
      <c r="D490" s="13"/>
      <c r="E490" s="13"/>
      <c r="F490" s="17" t="str">
        <f>IF(B490="","",IFERROR(VLOOKUP(B490,'Reel Register'!$B$4:$K$203,10,FALSE),""))</f>
        <v/>
      </c>
      <c r="G490" s="17" t="str">
        <f>IF(B490="","",IFERROR(VLOOKUP(B490,'Reel Register'!$B$4:$L$203,11,FALSE),""))</f>
        <v/>
      </c>
    </row>
    <row r="491" spans="1:7" x14ac:dyDescent="0.45">
      <c r="A491" s="13"/>
      <c r="B491" s="13"/>
      <c r="C491" s="16"/>
      <c r="D491" s="13"/>
      <c r="E491" s="13"/>
      <c r="F491" s="17" t="str">
        <f>IF(B491="","",IFERROR(VLOOKUP(B491,'Reel Register'!$B$4:$K$203,10,FALSE),""))</f>
        <v/>
      </c>
      <c r="G491" s="17" t="str">
        <f>IF(B491="","",IFERROR(VLOOKUP(B491,'Reel Register'!$B$4:$L$203,11,FALSE),""))</f>
        <v/>
      </c>
    </row>
    <row r="492" spans="1:7" x14ac:dyDescent="0.45">
      <c r="A492" s="13"/>
      <c r="B492" s="13"/>
      <c r="C492" s="16"/>
      <c r="D492" s="13"/>
      <c r="E492" s="13"/>
      <c r="F492" s="17" t="str">
        <f>IF(B492="","",IFERROR(VLOOKUP(B492,'Reel Register'!$B$4:$K$203,10,FALSE),""))</f>
        <v/>
      </c>
      <c r="G492" s="17" t="str">
        <f>IF(B492="","",IFERROR(VLOOKUP(B492,'Reel Register'!$B$4:$L$203,11,FALSE),""))</f>
        <v/>
      </c>
    </row>
    <row r="493" spans="1:7" x14ac:dyDescent="0.45">
      <c r="A493" s="13"/>
      <c r="B493" s="13"/>
      <c r="C493" s="16"/>
      <c r="D493" s="13"/>
      <c r="E493" s="13"/>
      <c r="F493" s="17" t="str">
        <f>IF(B493="","",IFERROR(VLOOKUP(B493,'Reel Register'!$B$4:$K$203,10,FALSE),""))</f>
        <v/>
      </c>
      <c r="G493" s="17" t="str">
        <f>IF(B493="","",IFERROR(VLOOKUP(B493,'Reel Register'!$B$4:$L$203,11,FALSE),""))</f>
        <v/>
      </c>
    </row>
    <row r="494" spans="1:7" x14ac:dyDescent="0.45">
      <c r="A494" s="13"/>
      <c r="B494" s="13"/>
      <c r="C494" s="16"/>
      <c r="D494" s="13"/>
      <c r="E494" s="13"/>
      <c r="F494" s="17" t="str">
        <f>IF(B494="","",IFERROR(VLOOKUP(B494,'Reel Register'!$B$4:$K$203,10,FALSE),""))</f>
        <v/>
      </c>
      <c r="G494" s="17" t="str">
        <f>IF(B494="","",IFERROR(VLOOKUP(B494,'Reel Register'!$B$4:$L$203,11,FALSE),""))</f>
        <v/>
      </c>
    </row>
    <row r="495" spans="1:7" x14ac:dyDescent="0.45">
      <c r="A495" s="13"/>
      <c r="B495" s="13"/>
      <c r="C495" s="16"/>
      <c r="D495" s="13"/>
      <c r="E495" s="13"/>
      <c r="F495" s="17" t="str">
        <f>IF(B495="","",IFERROR(VLOOKUP(B495,'Reel Register'!$B$4:$K$203,10,FALSE),""))</f>
        <v/>
      </c>
      <c r="G495" s="17" t="str">
        <f>IF(B495="","",IFERROR(VLOOKUP(B495,'Reel Register'!$B$4:$L$203,11,FALSE),""))</f>
        <v/>
      </c>
    </row>
    <row r="496" spans="1:7" x14ac:dyDescent="0.45">
      <c r="A496" s="13"/>
      <c r="B496" s="13"/>
      <c r="C496" s="16"/>
      <c r="D496" s="13"/>
      <c r="E496" s="13"/>
      <c r="F496" s="17" t="str">
        <f>IF(B496="","",IFERROR(VLOOKUP(B496,'Reel Register'!$B$4:$K$203,10,FALSE),""))</f>
        <v/>
      </c>
      <c r="G496" s="17" t="str">
        <f>IF(B496="","",IFERROR(VLOOKUP(B496,'Reel Register'!$B$4:$L$203,11,FALSE),""))</f>
        <v/>
      </c>
    </row>
    <row r="497" spans="1:7" x14ac:dyDescent="0.45">
      <c r="A497" s="13"/>
      <c r="B497" s="13"/>
      <c r="C497" s="16"/>
      <c r="D497" s="13"/>
      <c r="E497" s="13"/>
      <c r="F497" s="17" t="str">
        <f>IF(B497="","",IFERROR(VLOOKUP(B497,'Reel Register'!$B$4:$K$203,10,FALSE),""))</f>
        <v/>
      </c>
      <c r="G497" s="17" t="str">
        <f>IF(B497="","",IFERROR(VLOOKUP(B497,'Reel Register'!$B$4:$L$203,11,FALSE),""))</f>
        <v/>
      </c>
    </row>
    <row r="498" spans="1:7" x14ac:dyDescent="0.45">
      <c r="A498" s="13"/>
      <c r="B498" s="13"/>
      <c r="C498" s="16"/>
      <c r="D498" s="13"/>
      <c r="E498" s="13"/>
      <c r="F498" s="17" t="str">
        <f>IF(B498="","",IFERROR(VLOOKUP(B498,'Reel Register'!$B$4:$K$203,10,FALSE),""))</f>
        <v/>
      </c>
      <c r="G498" s="17" t="str">
        <f>IF(B498="","",IFERROR(VLOOKUP(B498,'Reel Register'!$B$4:$L$203,11,FALSE),""))</f>
        <v/>
      </c>
    </row>
    <row r="499" spans="1:7" x14ac:dyDescent="0.45">
      <c r="A499" s="13"/>
      <c r="B499" s="13"/>
      <c r="C499" s="16"/>
      <c r="D499" s="13"/>
      <c r="E499" s="13"/>
      <c r="F499" s="17" t="str">
        <f>IF(B499="","",IFERROR(VLOOKUP(B499,'Reel Register'!$B$4:$K$203,10,FALSE),""))</f>
        <v/>
      </c>
      <c r="G499" s="17" t="str">
        <f>IF(B499="","",IFERROR(VLOOKUP(B499,'Reel Register'!$B$4:$L$203,11,FALSE),""))</f>
        <v/>
      </c>
    </row>
    <row r="500" spans="1:7" x14ac:dyDescent="0.45">
      <c r="A500" s="13"/>
      <c r="B500" s="13"/>
      <c r="C500" s="16"/>
      <c r="D500" s="13"/>
      <c r="E500" s="13"/>
      <c r="F500" s="17" t="str">
        <f>IF(B500="","",IFERROR(VLOOKUP(B500,'Reel Register'!$B$4:$K$203,10,FALSE),""))</f>
        <v/>
      </c>
      <c r="G500" s="17" t="str">
        <f>IF(B500="","",IFERROR(VLOOKUP(B500,'Reel Register'!$B$4:$L$203,11,FALSE),""))</f>
        <v/>
      </c>
    </row>
    <row r="501" spans="1:7" x14ac:dyDescent="0.45">
      <c r="A501" s="13"/>
      <c r="B501" s="13"/>
      <c r="C501" s="16"/>
      <c r="D501" s="13"/>
      <c r="E501" s="13"/>
      <c r="F501" s="17" t="str">
        <f>IF(B501="","",IFERROR(VLOOKUP(B501,'Reel Register'!$B$4:$K$203,10,FALSE),""))</f>
        <v/>
      </c>
      <c r="G501" s="17" t="str">
        <f>IF(B501="","",IFERROR(VLOOKUP(B501,'Reel Register'!$B$4:$L$203,11,FALSE),""))</f>
        <v/>
      </c>
    </row>
    <row r="502" spans="1:7" x14ac:dyDescent="0.45">
      <c r="A502" s="13"/>
      <c r="B502" s="13"/>
      <c r="C502" s="16"/>
      <c r="D502" s="13"/>
      <c r="E502" s="13"/>
      <c r="F502" s="17" t="str">
        <f>IF(B502="","",IFERROR(VLOOKUP(B502,'Reel Register'!$B$4:$K$203,10,FALSE),""))</f>
        <v/>
      </c>
      <c r="G502" s="17" t="str">
        <f>IF(B502="","",IFERROR(VLOOKUP(B502,'Reel Register'!$B$4:$L$203,11,FALSE),""))</f>
        <v/>
      </c>
    </row>
    <row r="503" spans="1:7" x14ac:dyDescent="0.45">
      <c r="A503" s="13"/>
      <c r="B503" s="13"/>
      <c r="C503" s="16"/>
      <c r="D503" s="13"/>
      <c r="E503" s="13"/>
      <c r="F503" s="17" t="str">
        <f>IF(B503="","",IFERROR(VLOOKUP(B503,'Reel Register'!$B$4:$K$203,10,FALSE),""))</f>
        <v/>
      </c>
      <c r="G503" s="17" t="str">
        <f>IF(B503="","",IFERROR(VLOOKUP(B503,'Reel Register'!$B$4:$L$203,11,FALSE),""))</f>
        <v/>
      </c>
    </row>
  </sheetData>
  <autoFilter ref="A3:G503" xr:uid="{00000000-0009-0000-0000-000003000000}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>
      <pane ySplit="3" topLeftCell="A4" activePane="bottomLeft" state="frozen"/>
      <selection pane="bottomLeft" sqref="A1:H1"/>
    </sheetView>
  </sheetViews>
  <sheetFormatPr defaultRowHeight="14.25" x14ac:dyDescent="0.45"/>
  <cols>
    <col min="1" max="1" width="10" customWidth="1"/>
    <col min="2" max="3" width="8" customWidth="1"/>
    <col min="4" max="4" width="12" customWidth="1"/>
    <col min="5" max="5" width="8" customWidth="1"/>
    <col min="6" max="6" width="12" customWidth="1"/>
    <col min="7" max="7" width="14" customWidth="1"/>
    <col min="8" max="8" width="10" customWidth="1"/>
  </cols>
  <sheetData>
    <row r="1" spans="1:8" ht="20.65" x14ac:dyDescent="0.6">
      <c r="A1" s="26" t="s">
        <v>104</v>
      </c>
      <c r="B1" s="27"/>
      <c r="C1" s="27"/>
      <c r="D1" s="27"/>
      <c r="E1" s="27"/>
      <c r="F1" s="27"/>
      <c r="G1" s="27"/>
      <c r="H1" s="27"/>
    </row>
    <row r="2" spans="1:8" x14ac:dyDescent="0.45">
      <c r="A2" s="38" t="s">
        <v>105</v>
      </c>
      <c r="B2" s="27"/>
      <c r="C2" s="27"/>
      <c r="D2" s="27"/>
      <c r="E2" s="27"/>
      <c r="F2" s="27"/>
      <c r="G2" s="27"/>
      <c r="H2" s="27"/>
    </row>
    <row r="3" spans="1:8" x14ac:dyDescent="0.45">
      <c r="A3" s="12" t="s">
        <v>9</v>
      </c>
      <c r="B3" s="12" t="s">
        <v>45</v>
      </c>
      <c r="C3" s="12" t="s">
        <v>46</v>
      </c>
      <c r="D3" s="12" t="s">
        <v>47</v>
      </c>
      <c r="E3" s="12" t="s">
        <v>49</v>
      </c>
      <c r="F3" s="12" t="s">
        <v>10</v>
      </c>
      <c r="G3" s="12" t="s">
        <v>4</v>
      </c>
      <c r="H3" s="12" t="s">
        <v>53</v>
      </c>
    </row>
    <row r="4" spans="1:8" x14ac:dyDescent="0.45">
      <c r="A4" s="13" t="s">
        <v>11</v>
      </c>
      <c r="B4" s="13">
        <v>120</v>
      </c>
      <c r="C4" s="13">
        <v>18</v>
      </c>
      <c r="D4" s="13">
        <v>1400</v>
      </c>
      <c r="E4" s="13" t="s">
        <v>59</v>
      </c>
      <c r="F4" s="20">
        <f>IF(A4="","",COUNTIFS('Reel Register'!$C$4:$C$203,A4,'Reel Register'!$E$4:$E$203,B4,'Reel Register'!$F$4:$F$203,C4,'Reel Register'!$G$4:$G$203,D4,'Reel Register'!$I$4:$I$203,E4,'Reel Register'!$N$4:$N$203,"active")+COUNTIFS('Reel Register'!$C$4:$C$203,A4,'Reel Register'!$E$4:$E$203,B4,'Reel Register'!$F$4:$F$203,C4,'Reel Register'!$G$4:$G$203,D4,'Reel Register'!$I$4:$I$203,E4,'Reel Register'!$N$4:$N$203,"low"))</f>
        <v>2</v>
      </c>
      <c r="G4" s="21">
        <f>IF(A4="","",SUMIFS('Reel Register'!$L$4:$L$203,'Reel Register'!$C$4:$C$203,A4,'Reel Register'!$E$4:$E$203,B4,'Reel Register'!$F$4:$F$203,C4,'Reel Register'!$G$4:$G$203,D4,'Reel Register'!$I$4:$I$203,E4,'Reel Register'!$N$4:$N$203,"active")+SUMIFS('Reel Register'!$L$4:$L$203,'Reel Register'!$C$4:$C$203,A4,'Reel Register'!$E$4:$E$203,B4,'Reel Register'!$F$4:$F$203,C4,'Reel Register'!$G$4:$G$203,D4,'Reel Register'!$I$4:$I$203,E4,'Reel Register'!$N$4:$N$203,"low"))</f>
        <v>930</v>
      </c>
      <c r="H4" s="15" t="str">
        <f>IF(A4="","",IF(F4=0,"zero",IF(G4&lt;Settings!$B$5,"low","ok")))</f>
        <v>ok</v>
      </c>
    </row>
    <row r="5" spans="1:8" x14ac:dyDescent="0.45">
      <c r="A5" s="13" t="s">
        <v>11</v>
      </c>
      <c r="B5" s="13">
        <v>140</v>
      </c>
      <c r="C5" s="13">
        <v>20</v>
      </c>
      <c r="D5" s="13">
        <v>1600</v>
      </c>
      <c r="E5" s="13" t="s">
        <v>59</v>
      </c>
      <c r="F5" s="20">
        <f>IF(A5="","",COUNTIFS('Reel Register'!$C$4:$C$203,A5,'Reel Register'!$E$4:$E$203,B5,'Reel Register'!$F$4:$F$203,C5,'Reel Register'!$G$4:$G$203,D5,'Reel Register'!$I$4:$I$203,E5,'Reel Register'!$N$4:$N$203,"active")+COUNTIFS('Reel Register'!$C$4:$C$203,A5,'Reel Register'!$E$4:$E$203,B5,'Reel Register'!$F$4:$F$203,C5,'Reel Register'!$G$4:$G$203,D5,'Reel Register'!$I$4:$I$203,E5,'Reel Register'!$N$4:$N$203,"low"))</f>
        <v>1</v>
      </c>
      <c r="G5" s="21">
        <f>IF(A5="","",SUMIFS('Reel Register'!$L$4:$L$203,'Reel Register'!$C$4:$C$203,A5,'Reel Register'!$E$4:$E$203,B5,'Reel Register'!$F$4:$F$203,C5,'Reel Register'!$G$4:$G$203,D5,'Reel Register'!$I$4:$I$203,E5,'Reel Register'!$N$4:$N$203,"active")+SUMIFS('Reel Register'!$L$4:$L$203,'Reel Register'!$C$4:$C$203,A5,'Reel Register'!$E$4:$E$203,B5,'Reel Register'!$F$4:$F$203,C5,'Reel Register'!$G$4:$G$203,D5,'Reel Register'!$I$4:$I$203,E5,'Reel Register'!$N$4:$N$203,"low"))</f>
        <v>610</v>
      </c>
      <c r="H5" s="15" t="str">
        <f>IF(A5="","",IF(F5=0,"zero",IF(G5&lt;Settings!$B$5,"low","ok")))</f>
        <v>ok</v>
      </c>
    </row>
    <row r="6" spans="1:8" x14ac:dyDescent="0.45">
      <c r="A6" s="13" t="s">
        <v>12</v>
      </c>
      <c r="B6" s="13">
        <v>230</v>
      </c>
      <c r="C6" s="13">
        <v>18</v>
      </c>
      <c r="D6" s="13">
        <v>1200</v>
      </c>
      <c r="E6" s="13" t="s">
        <v>71</v>
      </c>
      <c r="F6" s="20">
        <f>IF(A6="","",COUNTIFS('Reel Register'!$C$4:$C$203,A6,'Reel Register'!$E$4:$E$203,B6,'Reel Register'!$F$4:$F$203,C6,'Reel Register'!$G$4:$G$203,D6,'Reel Register'!$I$4:$I$203,E6,'Reel Register'!$N$4:$N$203,"active")+COUNTIFS('Reel Register'!$C$4:$C$203,A6,'Reel Register'!$E$4:$E$203,B6,'Reel Register'!$F$4:$F$203,C6,'Reel Register'!$G$4:$G$203,D6,'Reel Register'!$I$4:$I$203,E6,'Reel Register'!$N$4:$N$203,"low"))</f>
        <v>1</v>
      </c>
      <c r="G6" s="21">
        <f>IF(A6="","",SUMIFS('Reel Register'!$L$4:$L$203,'Reel Register'!$C$4:$C$203,A6,'Reel Register'!$E$4:$E$203,B6,'Reel Register'!$F$4:$F$203,C6,'Reel Register'!$G$4:$G$203,D6,'Reel Register'!$I$4:$I$203,E6,'Reel Register'!$N$4:$N$203,"active")+SUMIFS('Reel Register'!$L$4:$L$203,'Reel Register'!$C$4:$C$203,A6,'Reel Register'!$E$4:$E$203,B6,'Reel Register'!$F$4:$F$203,C6,'Reel Register'!$G$4:$G$203,D6,'Reel Register'!$I$4:$I$203,E6,'Reel Register'!$N$4:$N$203,"low"))</f>
        <v>480</v>
      </c>
      <c r="H6" s="15" t="str">
        <f>IF(A6="","",IF(F6=0,"zero",IF(G6&lt;Settings!$B$5,"low","ok")))</f>
        <v>ok</v>
      </c>
    </row>
    <row r="7" spans="1:8" x14ac:dyDescent="0.45">
      <c r="A7" s="13" t="s">
        <v>11</v>
      </c>
      <c r="B7" s="13">
        <v>150</v>
      </c>
      <c r="C7" s="13">
        <v>22</v>
      </c>
      <c r="D7" s="13">
        <v>1400</v>
      </c>
      <c r="E7" s="13" t="s">
        <v>59</v>
      </c>
      <c r="F7" s="20">
        <f>IF(A7="","",COUNTIFS('Reel Register'!$C$4:$C$203,A7,'Reel Register'!$E$4:$E$203,B7,'Reel Register'!$F$4:$F$203,C7,'Reel Register'!$G$4:$G$203,D7,'Reel Register'!$I$4:$I$203,E7,'Reel Register'!$N$4:$N$203,"active")+COUNTIFS('Reel Register'!$C$4:$C$203,A7,'Reel Register'!$E$4:$E$203,B7,'Reel Register'!$F$4:$F$203,C7,'Reel Register'!$G$4:$G$203,D7,'Reel Register'!$I$4:$I$203,E7,'Reel Register'!$N$4:$N$203,"low"))</f>
        <v>0</v>
      </c>
      <c r="G7" s="21">
        <f>IF(A7="","",SUMIFS('Reel Register'!$L$4:$L$203,'Reel Register'!$C$4:$C$203,A7,'Reel Register'!$E$4:$E$203,B7,'Reel Register'!$F$4:$F$203,C7,'Reel Register'!$G$4:$G$203,D7,'Reel Register'!$I$4:$I$203,E7,'Reel Register'!$N$4:$N$203,"active")+SUMIFS('Reel Register'!$L$4:$L$203,'Reel Register'!$C$4:$C$203,A7,'Reel Register'!$E$4:$E$203,B7,'Reel Register'!$F$4:$F$203,C7,'Reel Register'!$G$4:$G$203,D7,'Reel Register'!$I$4:$I$203,E7,'Reel Register'!$N$4:$N$203,"low"))</f>
        <v>0</v>
      </c>
      <c r="H7" s="15" t="str">
        <f>IF(A7="","",IF(F7=0,"zero",IF(G7&lt;Settings!$B$5,"low","ok")))</f>
        <v>zero</v>
      </c>
    </row>
    <row r="8" spans="1:8" x14ac:dyDescent="0.45">
      <c r="A8" s="13" t="s">
        <v>11</v>
      </c>
      <c r="B8" s="13">
        <v>180</v>
      </c>
      <c r="C8" s="13">
        <v>20</v>
      </c>
      <c r="D8" s="13">
        <v>1800</v>
      </c>
      <c r="E8" s="13" t="s">
        <v>59</v>
      </c>
      <c r="F8" s="20">
        <f>IF(A8="","",COUNTIFS('Reel Register'!$C$4:$C$203,A8,'Reel Register'!$E$4:$E$203,B8,'Reel Register'!$F$4:$F$203,C8,'Reel Register'!$G$4:$G$203,D8,'Reel Register'!$I$4:$I$203,E8,'Reel Register'!$N$4:$N$203,"active")+COUNTIFS('Reel Register'!$C$4:$C$203,A8,'Reel Register'!$E$4:$E$203,B8,'Reel Register'!$F$4:$F$203,C8,'Reel Register'!$G$4:$G$203,D8,'Reel Register'!$I$4:$I$203,E8,'Reel Register'!$N$4:$N$203,"low"))</f>
        <v>1</v>
      </c>
      <c r="G8" s="21">
        <f>IF(A8="","",SUMIFS('Reel Register'!$L$4:$L$203,'Reel Register'!$C$4:$C$203,A8,'Reel Register'!$E$4:$E$203,B8,'Reel Register'!$F$4:$F$203,C8,'Reel Register'!$G$4:$G$203,D8,'Reel Register'!$I$4:$I$203,E8,'Reel Register'!$N$4:$N$203,"active")+SUMIFS('Reel Register'!$L$4:$L$203,'Reel Register'!$C$4:$C$203,A8,'Reel Register'!$E$4:$E$203,B8,'Reel Register'!$F$4:$F$203,C8,'Reel Register'!$G$4:$G$203,D8,'Reel Register'!$I$4:$I$203,E8,'Reel Register'!$N$4:$N$203,"low"))</f>
        <v>720</v>
      </c>
      <c r="H8" s="15" t="str">
        <f>IF(A8="","",IF(F8=0,"zero",IF(G8&lt;Settings!$B$5,"low","ok")))</f>
        <v>ok</v>
      </c>
    </row>
    <row r="9" spans="1:8" x14ac:dyDescent="0.45">
      <c r="A9" s="13"/>
      <c r="B9" s="13"/>
      <c r="C9" s="13"/>
      <c r="D9" s="13"/>
      <c r="E9" s="13"/>
      <c r="F9" s="20" t="str">
        <f>IF(A9="","",COUNTIFS('Reel Register'!$C$4:$C$203,A9,'Reel Register'!$E$4:$E$203,B9,'Reel Register'!$F$4:$F$203,C9,'Reel Register'!$G$4:$G$203,D9,'Reel Register'!$I$4:$I$203,E9,'Reel Register'!$N$4:$N$203,"active")+COUNTIFS('Reel Register'!$C$4:$C$203,A9,'Reel Register'!$E$4:$E$203,B9,'Reel Register'!$F$4:$F$203,C9,'Reel Register'!$G$4:$G$203,D9,'Reel Register'!$I$4:$I$203,E9,'Reel Register'!$N$4:$N$203,"low"))</f>
        <v/>
      </c>
      <c r="G9" s="21" t="str">
        <f>IF(A9="","",SUMIFS('Reel Register'!$L$4:$L$203,'Reel Register'!$C$4:$C$203,A9,'Reel Register'!$E$4:$E$203,B9,'Reel Register'!$F$4:$F$203,C9,'Reel Register'!$G$4:$G$203,D9,'Reel Register'!$I$4:$I$203,E9,'Reel Register'!$N$4:$N$203,"active")+SUMIFS('Reel Register'!$L$4:$L$203,'Reel Register'!$C$4:$C$203,A9,'Reel Register'!$E$4:$E$203,B9,'Reel Register'!$F$4:$F$203,C9,'Reel Register'!$G$4:$G$203,D9,'Reel Register'!$I$4:$I$203,E9,'Reel Register'!$N$4:$N$203,"low"))</f>
        <v/>
      </c>
      <c r="H9" s="15" t="str">
        <f>IF(A9="","",IF(F9=0,"zero",IF(G9&lt;Settings!$B$5,"low","ok")))</f>
        <v/>
      </c>
    </row>
    <row r="10" spans="1:8" x14ac:dyDescent="0.45">
      <c r="A10" s="13"/>
      <c r="B10" s="13"/>
      <c r="C10" s="13"/>
      <c r="D10" s="13"/>
      <c r="E10" s="13"/>
      <c r="F10" s="20" t="str">
        <f>IF(A10="","",COUNTIFS('Reel Register'!$C$4:$C$203,A10,'Reel Register'!$E$4:$E$203,B10,'Reel Register'!$F$4:$F$203,C10,'Reel Register'!$G$4:$G$203,D10,'Reel Register'!$I$4:$I$203,E10,'Reel Register'!$N$4:$N$203,"active")+COUNTIFS('Reel Register'!$C$4:$C$203,A10,'Reel Register'!$E$4:$E$203,B10,'Reel Register'!$F$4:$F$203,C10,'Reel Register'!$G$4:$G$203,D10,'Reel Register'!$I$4:$I$203,E10,'Reel Register'!$N$4:$N$203,"low"))</f>
        <v/>
      </c>
      <c r="G10" s="21" t="str">
        <f>IF(A10="","",SUMIFS('Reel Register'!$L$4:$L$203,'Reel Register'!$C$4:$C$203,A10,'Reel Register'!$E$4:$E$203,B10,'Reel Register'!$F$4:$F$203,C10,'Reel Register'!$G$4:$G$203,D10,'Reel Register'!$I$4:$I$203,E10,'Reel Register'!$N$4:$N$203,"active")+SUMIFS('Reel Register'!$L$4:$L$203,'Reel Register'!$C$4:$C$203,A10,'Reel Register'!$E$4:$E$203,B10,'Reel Register'!$F$4:$F$203,C10,'Reel Register'!$G$4:$G$203,D10,'Reel Register'!$I$4:$I$203,E10,'Reel Register'!$N$4:$N$203,"low"))</f>
        <v/>
      </c>
      <c r="H10" s="15" t="str">
        <f>IF(A10="","",IF(F10=0,"zero",IF(G10&lt;Settings!$B$5,"low","ok")))</f>
        <v/>
      </c>
    </row>
    <row r="11" spans="1:8" x14ac:dyDescent="0.45">
      <c r="A11" s="13"/>
      <c r="B11" s="13"/>
      <c r="C11" s="13"/>
      <c r="D11" s="13"/>
      <c r="E11" s="13"/>
      <c r="F11" s="20" t="str">
        <f>IF(A11="","",COUNTIFS('Reel Register'!$C$4:$C$203,A11,'Reel Register'!$E$4:$E$203,B11,'Reel Register'!$F$4:$F$203,C11,'Reel Register'!$G$4:$G$203,D11,'Reel Register'!$I$4:$I$203,E11,'Reel Register'!$N$4:$N$203,"active")+COUNTIFS('Reel Register'!$C$4:$C$203,A11,'Reel Register'!$E$4:$E$203,B11,'Reel Register'!$F$4:$F$203,C11,'Reel Register'!$G$4:$G$203,D11,'Reel Register'!$I$4:$I$203,E11,'Reel Register'!$N$4:$N$203,"low"))</f>
        <v/>
      </c>
      <c r="G11" s="21" t="str">
        <f>IF(A11="","",SUMIFS('Reel Register'!$L$4:$L$203,'Reel Register'!$C$4:$C$203,A11,'Reel Register'!$E$4:$E$203,B11,'Reel Register'!$F$4:$F$203,C11,'Reel Register'!$G$4:$G$203,D11,'Reel Register'!$I$4:$I$203,E11,'Reel Register'!$N$4:$N$203,"active")+SUMIFS('Reel Register'!$L$4:$L$203,'Reel Register'!$C$4:$C$203,A11,'Reel Register'!$E$4:$E$203,B11,'Reel Register'!$F$4:$F$203,C11,'Reel Register'!$G$4:$G$203,D11,'Reel Register'!$I$4:$I$203,E11,'Reel Register'!$N$4:$N$203,"low"))</f>
        <v/>
      </c>
      <c r="H11" s="15" t="str">
        <f>IF(A11="","",IF(F11=0,"zero",IF(G11&lt;Settings!$B$5,"low","ok")))</f>
        <v/>
      </c>
    </row>
    <row r="12" spans="1:8" x14ac:dyDescent="0.45">
      <c r="A12" s="13"/>
      <c r="B12" s="13"/>
      <c r="C12" s="13"/>
      <c r="D12" s="13"/>
      <c r="E12" s="13"/>
      <c r="F12" s="20" t="str">
        <f>IF(A12="","",COUNTIFS('Reel Register'!$C$4:$C$203,A12,'Reel Register'!$E$4:$E$203,B12,'Reel Register'!$F$4:$F$203,C12,'Reel Register'!$G$4:$G$203,D12,'Reel Register'!$I$4:$I$203,E12,'Reel Register'!$N$4:$N$203,"active")+COUNTIFS('Reel Register'!$C$4:$C$203,A12,'Reel Register'!$E$4:$E$203,B12,'Reel Register'!$F$4:$F$203,C12,'Reel Register'!$G$4:$G$203,D12,'Reel Register'!$I$4:$I$203,E12,'Reel Register'!$N$4:$N$203,"low"))</f>
        <v/>
      </c>
      <c r="G12" s="21" t="str">
        <f>IF(A12="","",SUMIFS('Reel Register'!$L$4:$L$203,'Reel Register'!$C$4:$C$203,A12,'Reel Register'!$E$4:$E$203,B12,'Reel Register'!$F$4:$F$203,C12,'Reel Register'!$G$4:$G$203,D12,'Reel Register'!$I$4:$I$203,E12,'Reel Register'!$N$4:$N$203,"active")+SUMIFS('Reel Register'!$L$4:$L$203,'Reel Register'!$C$4:$C$203,A12,'Reel Register'!$E$4:$E$203,B12,'Reel Register'!$F$4:$F$203,C12,'Reel Register'!$G$4:$G$203,D12,'Reel Register'!$I$4:$I$203,E12,'Reel Register'!$N$4:$N$203,"low"))</f>
        <v/>
      </c>
      <c r="H12" s="15" t="str">
        <f>IF(A12="","",IF(F12=0,"zero",IF(G12&lt;Settings!$B$5,"low","ok")))</f>
        <v/>
      </c>
    </row>
    <row r="13" spans="1:8" x14ac:dyDescent="0.45">
      <c r="A13" s="13"/>
      <c r="B13" s="13"/>
      <c r="C13" s="13"/>
      <c r="D13" s="13"/>
      <c r="E13" s="13"/>
      <c r="F13" s="20" t="str">
        <f>IF(A13="","",COUNTIFS('Reel Register'!$C$4:$C$203,A13,'Reel Register'!$E$4:$E$203,B13,'Reel Register'!$F$4:$F$203,C13,'Reel Register'!$G$4:$G$203,D13,'Reel Register'!$I$4:$I$203,E13,'Reel Register'!$N$4:$N$203,"active")+COUNTIFS('Reel Register'!$C$4:$C$203,A13,'Reel Register'!$E$4:$E$203,B13,'Reel Register'!$F$4:$F$203,C13,'Reel Register'!$G$4:$G$203,D13,'Reel Register'!$I$4:$I$203,E13,'Reel Register'!$N$4:$N$203,"low"))</f>
        <v/>
      </c>
      <c r="G13" s="21" t="str">
        <f>IF(A13="","",SUMIFS('Reel Register'!$L$4:$L$203,'Reel Register'!$C$4:$C$203,A13,'Reel Register'!$E$4:$E$203,B13,'Reel Register'!$F$4:$F$203,C13,'Reel Register'!$G$4:$G$203,D13,'Reel Register'!$I$4:$I$203,E13,'Reel Register'!$N$4:$N$203,"active")+SUMIFS('Reel Register'!$L$4:$L$203,'Reel Register'!$C$4:$C$203,A13,'Reel Register'!$E$4:$E$203,B13,'Reel Register'!$F$4:$F$203,C13,'Reel Register'!$G$4:$G$203,D13,'Reel Register'!$I$4:$I$203,E13,'Reel Register'!$N$4:$N$203,"low"))</f>
        <v/>
      </c>
      <c r="H13" s="15" t="str">
        <f>IF(A13="","",IF(F13=0,"zero",IF(G13&lt;Settings!$B$5,"low","ok")))</f>
        <v/>
      </c>
    </row>
    <row r="14" spans="1:8" x14ac:dyDescent="0.45">
      <c r="A14" s="13"/>
      <c r="B14" s="13"/>
      <c r="C14" s="13"/>
      <c r="D14" s="13"/>
      <c r="E14" s="13"/>
      <c r="F14" s="20" t="str">
        <f>IF(A14="","",COUNTIFS('Reel Register'!$C$4:$C$203,A14,'Reel Register'!$E$4:$E$203,B14,'Reel Register'!$F$4:$F$203,C14,'Reel Register'!$G$4:$G$203,D14,'Reel Register'!$I$4:$I$203,E14,'Reel Register'!$N$4:$N$203,"active")+COUNTIFS('Reel Register'!$C$4:$C$203,A14,'Reel Register'!$E$4:$E$203,B14,'Reel Register'!$F$4:$F$203,C14,'Reel Register'!$G$4:$G$203,D14,'Reel Register'!$I$4:$I$203,E14,'Reel Register'!$N$4:$N$203,"low"))</f>
        <v/>
      </c>
      <c r="G14" s="21" t="str">
        <f>IF(A14="","",SUMIFS('Reel Register'!$L$4:$L$203,'Reel Register'!$C$4:$C$203,A14,'Reel Register'!$E$4:$E$203,B14,'Reel Register'!$F$4:$F$203,C14,'Reel Register'!$G$4:$G$203,D14,'Reel Register'!$I$4:$I$203,E14,'Reel Register'!$N$4:$N$203,"active")+SUMIFS('Reel Register'!$L$4:$L$203,'Reel Register'!$C$4:$C$203,A14,'Reel Register'!$E$4:$E$203,B14,'Reel Register'!$F$4:$F$203,C14,'Reel Register'!$G$4:$G$203,D14,'Reel Register'!$I$4:$I$203,E14,'Reel Register'!$N$4:$N$203,"low"))</f>
        <v/>
      </c>
      <c r="H14" s="15" t="str">
        <f>IF(A14="","",IF(F14=0,"zero",IF(G14&lt;Settings!$B$5,"low","ok")))</f>
        <v/>
      </c>
    </row>
    <row r="15" spans="1:8" x14ac:dyDescent="0.45">
      <c r="A15" s="13"/>
      <c r="B15" s="13"/>
      <c r="C15" s="13"/>
      <c r="D15" s="13"/>
      <c r="E15" s="13"/>
      <c r="F15" s="20" t="str">
        <f>IF(A15="","",COUNTIFS('Reel Register'!$C$4:$C$203,A15,'Reel Register'!$E$4:$E$203,B15,'Reel Register'!$F$4:$F$203,C15,'Reel Register'!$G$4:$G$203,D15,'Reel Register'!$I$4:$I$203,E15,'Reel Register'!$N$4:$N$203,"active")+COUNTIFS('Reel Register'!$C$4:$C$203,A15,'Reel Register'!$E$4:$E$203,B15,'Reel Register'!$F$4:$F$203,C15,'Reel Register'!$G$4:$G$203,D15,'Reel Register'!$I$4:$I$203,E15,'Reel Register'!$N$4:$N$203,"low"))</f>
        <v/>
      </c>
      <c r="G15" s="21" t="str">
        <f>IF(A15="","",SUMIFS('Reel Register'!$L$4:$L$203,'Reel Register'!$C$4:$C$203,A15,'Reel Register'!$E$4:$E$203,B15,'Reel Register'!$F$4:$F$203,C15,'Reel Register'!$G$4:$G$203,D15,'Reel Register'!$I$4:$I$203,E15,'Reel Register'!$N$4:$N$203,"active")+SUMIFS('Reel Register'!$L$4:$L$203,'Reel Register'!$C$4:$C$203,A15,'Reel Register'!$E$4:$E$203,B15,'Reel Register'!$F$4:$F$203,C15,'Reel Register'!$G$4:$G$203,D15,'Reel Register'!$I$4:$I$203,E15,'Reel Register'!$N$4:$N$203,"low"))</f>
        <v/>
      </c>
      <c r="H15" s="15" t="str">
        <f>IF(A15="","",IF(F15=0,"zero",IF(G15&lt;Settings!$B$5,"low","ok")))</f>
        <v/>
      </c>
    </row>
    <row r="16" spans="1:8" x14ac:dyDescent="0.45">
      <c r="A16" s="13"/>
      <c r="B16" s="13"/>
      <c r="C16" s="13"/>
      <c r="D16" s="13"/>
      <c r="E16" s="13"/>
      <c r="F16" s="20" t="str">
        <f>IF(A16="","",COUNTIFS('Reel Register'!$C$4:$C$203,A16,'Reel Register'!$E$4:$E$203,B16,'Reel Register'!$F$4:$F$203,C16,'Reel Register'!$G$4:$G$203,D16,'Reel Register'!$I$4:$I$203,E16,'Reel Register'!$N$4:$N$203,"active")+COUNTIFS('Reel Register'!$C$4:$C$203,A16,'Reel Register'!$E$4:$E$203,B16,'Reel Register'!$F$4:$F$203,C16,'Reel Register'!$G$4:$G$203,D16,'Reel Register'!$I$4:$I$203,E16,'Reel Register'!$N$4:$N$203,"low"))</f>
        <v/>
      </c>
      <c r="G16" s="21" t="str">
        <f>IF(A16="","",SUMIFS('Reel Register'!$L$4:$L$203,'Reel Register'!$C$4:$C$203,A16,'Reel Register'!$E$4:$E$203,B16,'Reel Register'!$F$4:$F$203,C16,'Reel Register'!$G$4:$G$203,D16,'Reel Register'!$I$4:$I$203,E16,'Reel Register'!$N$4:$N$203,"active")+SUMIFS('Reel Register'!$L$4:$L$203,'Reel Register'!$C$4:$C$203,A16,'Reel Register'!$E$4:$E$203,B16,'Reel Register'!$F$4:$F$203,C16,'Reel Register'!$G$4:$G$203,D16,'Reel Register'!$I$4:$I$203,E16,'Reel Register'!$N$4:$N$203,"low"))</f>
        <v/>
      </c>
      <c r="H16" s="15" t="str">
        <f>IF(A16="","",IF(F16=0,"zero",IF(G16&lt;Settings!$B$5,"low","ok")))</f>
        <v/>
      </c>
    </row>
    <row r="17" spans="1:8" x14ac:dyDescent="0.45">
      <c r="A17" s="13"/>
      <c r="B17" s="13"/>
      <c r="C17" s="13"/>
      <c r="D17" s="13"/>
      <c r="E17" s="13"/>
      <c r="F17" s="20" t="str">
        <f>IF(A17="","",COUNTIFS('Reel Register'!$C$4:$C$203,A17,'Reel Register'!$E$4:$E$203,B17,'Reel Register'!$F$4:$F$203,C17,'Reel Register'!$G$4:$G$203,D17,'Reel Register'!$I$4:$I$203,E17,'Reel Register'!$N$4:$N$203,"active")+COUNTIFS('Reel Register'!$C$4:$C$203,A17,'Reel Register'!$E$4:$E$203,B17,'Reel Register'!$F$4:$F$203,C17,'Reel Register'!$G$4:$G$203,D17,'Reel Register'!$I$4:$I$203,E17,'Reel Register'!$N$4:$N$203,"low"))</f>
        <v/>
      </c>
      <c r="G17" s="21" t="str">
        <f>IF(A17="","",SUMIFS('Reel Register'!$L$4:$L$203,'Reel Register'!$C$4:$C$203,A17,'Reel Register'!$E$4:$E$203,B17,'Reel Register'!$F$4:$F$203,C17,'Reel Register'!$G$4:$G$203,D17,'Reel Register'!$I$4:$I$203,E17,'Reel Register'!$N$4:$N$203,"active")+SUMIFS('Reel Register'!$L$4:$L$203,'Reel Register'!$C$4:$C$203,A17,'Reel Register'!$E$4:$E$203,B17,'Reel Register'!$F$4:$F$203,C17,'Reel Register'!$G$4:$G$203,D17,'Reel Register'!$I$4:$I$203,E17,'Reel Register'!$N$4:$N$203,"low"))</f>
        <v/>
      </c>
      <c r="H17" s="15" t="str">
        <f>IF(A17="","",IF(F17=0,"zero",IF(G17&lt;Settings!$B$5,"low","ok")))</f>
        <v/>
      </c>
    </row>
    <row r="18" spans="1:8" x14ac:dyDescent="0.45">
      <c r="A18" s="13"/>
      <c r="B18" s="13"/>
      <c r="C18" s="13"/>
      <c r="D18" s="13"/>
      <c r="E18" s="13"/>
      <c r="F18" s="20" t="str">
        <f>IF(A18="","",COUNTIFS('Reel Register'!$C$4:$C$203,A18,'Reel Register'!$E$4:$E$203,B18,'Reel Register'!$F$4:$F$203,C18,'Reel Register'!$G$4:$G$203,D18,'Reel Register'!$I$4:$I$203,E18,'Reel Register'!$N$4:$N$203,"active")+COUNTIFS('Reel Register'!$C$4:$C$203,A18,'Reel Register'!$E$4:$E$203,B18,'Reel Register'!$F$4:$F$203,C18,'Reel Register'!$G$4:$G$203,D18,'Reel Register'!$I$4:$I$203,E18,'Reel Register'!$N$4:$N$203,"low"))</f>
        <v/>
      </c>
      <c r="G18" s="21" t="str">
        <f>IF(A18="","",SUMIFS('Reel Register'!$L$4:$L$203,'Reel Register'!$C$4:$C$203,A18,'Reel Register'!$E$4:$E$203,B18,'Reel Register'!$F$4:$F$203,C18,'Reel Register'!$G$4:$G$203,D18,'Reel Register'!$I$4:$I$203,E18,'Reel Register'!$N$4:$N$203,"active")+SUMIFS('Reel Register'!$L$4:$L$203,'Reel Register'!$C$4:$C$203,A18,'Reel Register'!$E$4:$E$203,B18,'Reel Register'!$F$4:$F$203,C18,'Reel Register'!$G$4:$G$203,D18,'Reel Register'!$I$4:$I$203,E18,'Reel Register'!$N$4:$N$203,"low"))</f>
        <v/>
      </c>
      <c r="H18" s="15" t="str">
        <f>IF(A18="","",IF(F18=0,"zero",IF(G18&lt;Settings!$B$5,"low","ok")))</f>
        <v/>
      </c>
    </row>
    <row r="19" spans="1:8" x14ac:dyDescent="0.45">
      <c r="A19" s="13"/>
      <c r="B19" s="13"/>
      <c r="C19" s="13"/>
      <c r="D19" s="13"/>
      <c r="E19" s="13"/>
      <c r="F19" s="20" t="str">
        <f>IF(A19="","",COUNTIFS('Reel Register'!$C$4:$C$203,A19,'Reel Register'!$E$4:$E$203,B19,'Reel Register'!$F$4:$F$203,C19,'Reel Register'!$G$4:$G$203,D19,'Reel Register'!$I$4:$I$203,E19,'Reel Register'!$N$4:$N$203,"active")+COUNTIFS('Reel Register'!$C$4:$C$203,A19,'Reel Register'!$E$4:$E$203,B19,'Reel Register'!$F$4:$F$203,C19,'Reel Register'!$G$4:$G$203,D19,'Reel Register'!$I$4:$I$203,E19,'Reel Register'!$N$4:$N$203,"low"))</f>
        <v/>
      </c>
      <c r="G19" s="21" t="str">
        <f>IF(A19="","",SUMIFS('Reel Register'!$L$4:$L$203,'Reel Register'!$C$4:$C$203,A19,'Reel Register'!$E$4:$E$203,B19,'Reel Register'!$F$4:$F$203,C19,'Reel Register'!$G$4:$G$203,D19,'Reel Register'!$I$4:$I$203,E19,'Reel Register'!$N$4:$N$203,"active")+SUMIFS('Reel Register'!$L$4:$L$203,'Reel Register'!$C$4:$C$203,A19,'Reel Register'!$E$4:$E$203,B19,'Reel Register'!$F$4:$F$203,C19,'Reel Register'!$G$4:$G$203,D19,'Reel Register'!$I$4:$I$203,E19,'Reel Register'!$N$4:$N$203,"low"))</f>
        <v/>
      </c>
      <c r="H19" s="15" t="str">
        <f>IF(A19="","",IF(F19=0,"zero",IF(G19&lt;Settings!$B$5,"low","ok")))</f>
        <v/>
      </c>
    </row>
    <row r="20" spans="1:8" x14ac:dyDescent="0.45">
      <c r="A20" s="13"/>
      <c r="B20" s="13"/>
      <c r="C20" s="13"/>
      <c r="D20" s="13"/>
      <c r="E20" s="13"/>
      <c r="F20" s="20" t="str">
        <f>IF(A20="","",COUNTIFS('Reel Register'!$C$4:$C$203,A20,'Reel Register'!$E$4:$E$203,B20,'Reel Register'!$F$4:$F$203,C20,'Reel Register'!$G$4:$G$203,D20,'Reel Register'!$I$4:$I$203,E20,'Reel Register'!$N$4:$N$203,"active")+COUNTIFS('Reel Register'!$C$4:$C$203,A20,'Reel Register'!$E$4:$E$203,B20,'Reel Register'!$F$4:$F$203,C20,'Reel Register'!$G$4:$G$203,D20,'Reel Register'!$I$4:$I$203,E20,'Reel Register'!$N$4:$N$203,"low"))</f>
        <v/>
      </c>
      <c r="G20" s="21" t="str">
        <f>IF(A20="","",SUMIFS('Reel Register'!$L$4:$L$203,'Reel Register'!$C$4:$C$203,A20,'Reel Register'!$E$4:$E$203,B20,'Reel Register'!$F$4:$F$203,C20,'Reel Register'!$G$4:$G$203,D20,'Reel Register'!$I$4:$I$203,E20,'Reel Register'!$N$4:$N$203,"active")+SUMIFS('Reel Register'!$L$4:$L$203,'Reel Register'!$C$4:$C$203,A20,'Reel Register'!$E$4:$E$203,B20,'Reel Register'!$F$4:$F$203,C20,'Reel Register'!$G$4:$G$203,D20,'Reel Register'!$I$4:$I$203,E20,'Reel Register'!$N$4:$N$203,"low"))</f>
        <v/>
      </c>
      <c r="H20" s="15" t="str">
        <f>IF(A20="","",IF(F20=0,"zero",IF(G20&lt;Settings!$B$5,"low","ok")))</f>
        <v/>
      </c>
    </row>
    <row r="21" spans="1:8" x14ac:dyDescent="0.45">
      <c r="A21" s="13"/>
      <c r="B21" s="13"/>
      <c r="C21" s="13"/>
      <c r="D21" s="13"/>
      <c r="E21" s="13"/>
      <c r="F21" s="20" t="str">
        <f>IF(A21="","",COUNTIFS('Reel Register'!$C$4:$C$203,A21,'Reel Register'!$E$4:$E$203,B21,'Reel Register'!$F$4:$F$203,C21,'Reel Register'!$G$4:$G$203,D21,'Reel Register'!$I$4:$I$203,E21,'Reel Register'!$N$4:$N$203,"active")+COUNTIFS('Reel Register'!$C$4:$C$203,A21,'Reel Register'!$E$4:$E$203,B21,'Reel Register'!$F$4:$F$203,C21,'Reel Register'!$G$4:$G$203,D21,'Reel Register'!$I$4:$I$203,E21,'Reel Register'!$N$4:$N$203,"low"))</f>
        <v/>
      </c>
      <c r="G21" s="21" t="str">
        <f>IF(A21="","",SUMIFS('Reel Register'!$L$4:$L$203,'Reel Register'!$C$4:$C$203,A21,'Reel Register'!$E$4:$E$203,B21,'Reel Register'!$F$4:$F$203,C21,'Reel Register'!$G$4:$G$203,D21,'Reel Register'!$I$4:$I$203,E21,'Reel Register'!$N$4:$N$203,"active")+SUMIFS('Reel Register'!$L$4:$L$203,'Reel Register'!$C$4:$C$203,A21,'Reel Register'!$E$4:$E$203,B21,'Reel Register'!$F$4:$F$203,C21,'Reel Register'!$G$4:$G$203,D21,'Reel Register'!$I$4:$I$203,E21,'Reel Register'!$N$4:$N$203,"low"))</f>
        <v/>
      </c>
      <c r="H21" s="15" t="str">
        <f>IF(A21="","",IF(F21=0,"zero",IF(G21&lt;Settings!$B$5,"low","ok")))</f>
        <v/>
      </c>
    </row>
    <row r="22" spans="1:8" x14ac:dyDescent="0.45">
      <c r="A22" s="13"/>
      <c r="B22" s="13"/>
      <c r="C22" s="13"/>
      <c r="D22" s="13"/>
      <c r="E22" s="13"/>
      <c r="F22" s="20" t="str">
        <f>IF(A22="","",COUNTIFS('Reel Register'!$C$4:$C$203,A22,'Reel Register'!$E$4:$E$203,B22,'Reel Register'!$F$4:$F$203,C22,'Reel Register'!$G$4:$G$203,D22,'Reel Register'!$I$4:$I$203,E22,'Reel Register'!$N$4:$N$203,"active")+COUNTIFS('Reel Register'!$C$4:$C$203,A22,'Reel Register'!$E$4:$E$203,B22,'Reel Register'!$F$4:$F$203,C22,'Reel Register'!$G$4:$G$203,D22,'Reel Register'!$I$4:$I$203,E22,'Reel Register'!$N$4:$N$203,"low"))</f>
        <v/>
      </c>
      <c r="G22" s="21" t="str">
        <f>IF(A22="","",SUMIFS('Reel Register'!$L$4:$L$203,'Reel Register'!$C$4:$C$203,A22,'Reel Register'!$E$4:$E$203,B22,'Reel Register'!$F$4:$F$203,C22,'Reel Register'!$G$4:$G$203,D22,'Reel Register'!$I$4:$I$203,E22,'Reel Register'!$N$4:$N$203,"active")+SUMIFS('Reel Register'!$L$4:$L$203,'Reel Register'!$C$4:$C$203,A22,'Reel Register'!$E$4:$E$203,B22,'Reel Register'!$F$4:$F$203,C22,'Reel Register'!$G$4:$G$203,D22,'Reel Register'!$I$4:$I$203,E22,'Reel Register'!$N$4:$N$203,"low"))</f>
        <v/>
      </c>
      <c r="H22" s="15" t="str">
        <f>IF(A22="","",IF(F22=0,"zero",IF(G22&lt;Settings!$B$5,"low","ok")))</f>
        <v/>
      </c>
    </row>
    <row r="23" spans="1:8" x14ac:dyDescent="0.45">
      <c r="A23" s="13"/>
      <c r="B23" s="13"/>
      <c r="C23" s="13"/>
      <c r="D23" s="13"/>
      <c r="E23" s="13"/>
      <c r="F23" s="20" t="str">
        <f>IF(A23="","",COUNTIFS('Reel Register'!$C$4:$C$203,A23,'Reel Register'!$E$4:$E$203,B23,'Reel Register'!$F$4:$F$203,C23,'Reel Register'!$G$4:$G$203,D23,'Reel Register'!$I$4:$I$203,E23,'Reel Register'!$N$4:$N$203,"active")+COUNTIFS('Reel Register'!$C$4:$C$203,A23,'Reel Register'!$E$4:$E$203,B23,'Reel Register'!$F$4:$F$203,C23,'Reel Register'!$G$4:$G$203,D23,'Reel Register'!$I$4:$I$203,E23,'Reel Register'!$N$4:$N$203,"low"))</f>
        <v/>
      </c>
      <c r="G23" s="21" t="str">
        <f>IF(A23="","",SUMIFS('Reel Register'!$L$4:$L$203,'Reel Register'!$C$4:$C$203,A23,'Reel Register'!$E$4:$E$203,B23,'Reel Register'!$F$4:$F$203,C23,'Reel Register'!$G$4:$G$203,D23,'Reel Register'!$I$4:$I$203,E23,'Reel Register'!$N$4:$N$203,"active")+SUMIFS('Reel Register'!$L$4:$L$203,'Reel Register'!$C$4:$C$203,A23,'Reel Register'!$E$4:$E$203,B23,'Reel Register'!$F$4:$F$203,C23,'Reel Register'!$G$4:$G$203,D23,'Reel Register'!$I$4:$I$203,E23,'Reel Register'!$N$4:$N$203,"low"))</f>
        <v/>
      </c>
      <c r="H23" s="15" t="str">
        <f>IF(A23="","",IF(F23=0,"zero",IF(G23&lt;Settings!$B$5,"low","ok")))</f>
        <v/>
      </c>
    </row>
    <row r="24" spans="1:8" x14ac:dyDescent="0.45">
      <c r="A24" s="13"/>
      <c r="B24" s="13"/>
      <c r="C24" s="13"/>
      <c r="D24" s="13"/>
      <c r="E24" s="13"/>
      <c r="F24" s="20" t="str">
        <f>IF(A24="","",COUNTIFS('Reel Register'!$C$4:$C$203,A24,'Reel Register'!$E$4:$E$203,B24,'Reel Register'!$F$4:$F$203,C24,'Reel Register'!$G$4:$G$203,D24,'Reel Register'!$I$4:$I$203,E24,'Reel Register'!$N$4:$N$203,"active")+COUNTIFS('Reel Register'!$C$4:$C$203,A24,'Reel Register'!$E$4:$E$203,B24,'Reel Register'!$F$4:$F$203,C24,'Reel Register'!$G$4:$G$203,D24,'Reel Register'!$I$4:$I$203,E24,'Reel Register'!$N$4:$N$203,"low"))</f>
        <v/>
      </c>
      <c r="G24" s="21" t="str">
        <f>IF(A24="","",SUMIFS('Reel Register'!$L$4:$L$203,'Reel Register'!$C$4:$C$203,A24,'Reel Register'!$E$4:$E$203,B24,'Reel Register'!$F$4:$F$203,C24,'Reel Register'!$G$4:$G$203,D24,'Reel Register'!$I$4:$I$203,E24,'Reel Register'!$N$4:$N$203,"active")+SUMIFS('Reel Register'!$L$4:$L$203,'Reel Register'!$C$4:$C$203,A24,'Reel Register'!$E$4:$E$203,B24,'Reel Register'!$F$4:$F$203,C24,'Reel Register'!$G$4:$G$203,D24,'Reel Register'!$I$4:$I$203,E24,'Reel Register'!$N$4:$N$203,"low"))</f>
        <v/>
      </c>
      <c r="H24" s="15" t="str">
        <f>IF(A24="","",IF(F24=0,"zero",IF(G24&lt;Settings!$B$5,"low","ok")))</f>
        <v/>
      </c>
    </row>
    <row r="25" spans="1:8" x14ac:dyDescent="0.45">
      <c r="A25" s="13"/>
      <c r="B25" s="13"/>
      <c r="C25" s="13"/>
      <c r="D25" s="13"/>
      <c r="E25" s="13"/>
      <c r="F25" s="20" t="str">
        <f>IF(A25="","",COUNTIFS('Reel Register'!$C$4:$C$203,A25,'Reel Register'!$E$4:$E$203,B25,'Reel Register'!$F$4:$F$203,C25,'Reel Register'!$G$4:$G$203,D25,'Reel Register'!$I$4:$I$203,E25,'Reel Register'!$N$4:$N$203,"active")+COUNTIFS('Reel Register'!$C$4:$C$203,A25,'Reel Register'!$E$4:$E$203,B25,'Reel Register'!$F$4:$F$203,C25,'Reel Register'!$G$4:$G$203,D25,'Reel Register'!$I$4:$I$203,E25,'Reel Register'!$N$4:$N$203,"low"))</f>
        <v/>
      </c>
      <c r="G25" s="21" t="str">
        <f>IF(A25="","",SUMIFS('Reel Register'!$L$4:$L$203,'Reel Register'!$C$4:$C$203,A25,'Reel Register'!$E$4:$E$203,B25,'Reel Register'!$F$4:$F$203,C25,'Reel Register'!$G$4:$G$203,D25,'Reel Register'!$I$4:$I$203,E25,'Reel Register'!$N$4:$N$203,"active")+SUMIFS('Reel Register'!$L$4:$L$203,'Reel Register'!$C$4:$C$203,A25,'Reel Register'!$E$4:$E$203,B25,'Reel Register'!$F$4:$F$203,C25,'Reel Register'!$G$4:$G$203,D25,'Reel Register'!$I$4:$I$203,E25,'Reel Register'!$N$4:$N$203,"low"))</f>
        <v/>
      </c>
      <c r="H25" s="15" t="str">
        <f>IF(A25="","",IF(F25=0,"zero",IF(G25&lt;Settings!$B$5,"low","ok")))</f>
        <v/>
      </c>
    </row>
    <row r="26" spans="1:8" x14ac:dyDescent="0.45">
      <c r="A26" s="13"/>
      <c r="B26" s="13"/>
      <c r="C26" s="13"/>
      <c r="D26" s="13"/>
      <c r="E26" s="13"/>
      <c r="F26" s="20" t="str">
        <f>IF(A26="","",COUNTIFS('Reel Register'!$C$4:$C$203,A26,'Reel Register'!$E$4:$E$203,B26,'Reel Register'!$F$4:$F$203,C26,'Reel Register'!$G$4:$G$203,D26,'Reel Register'!$I$4:$I$203,E26,'Reel Register'!$N$4:$N$203,"active")+COUNTIFS('Reel Register'!$C$4:$C$203,A26,'Reel Register'!$E$4:$E$203,B26,'Reel Register'!$F$4:$F$203,C26,'Reel Register'!$G$4:$G$203,D26,'Reel Register'!$I$4:$I$203,E26,'Reel Register'!$N$4:$N$203,"low"))</f>
        <v/>
      </c>
      <c r="G26" s="21" t="str">
        <f>IF(A26="","",SUMIFS('Reel Register'!$L$4:$L$203,'Reel Register'!$C$4:$C$203,A26,'Reel Register'!$E$4:$E$203,B26,'Reel Register'!$F$4:$F$203,C26,'Reel Register'!$G$4:$G$203,D26,'Reel Register'!$I$4:$I$203,E26,'Reel Register'!$N$4:$N$203,"active")+SUMIFS('Reel Register'!$L$4:$L$203,'Reel Register'!$C$4:$C$203,A26,'Reel Register'!$E$4:$E$203,B26,'Reel Register'!$F$4:$F$203,C26,'Reel Register'!$G$4:$G$203,D26,'Reel Register'!$I$4:$I$203,E26,'Reel Register'!$N$4:$N$203,"low"))</f>
        <v/>
      </c>
      <c r="H26" s="15" t="str">
        <f>IF(A26="","",IF(F26=0,"zero",IF(G26&lt;Settings!$B$5,"low","ok")))</f>
        <v/>
      </c>
    </row>
    <row r="27" spans="1:8" x14ac:dyDescent="0.45">
      <c r="A27" s="13"/>
      <c r="B27" s="13"/>
      <c r="C27" s="13"/>
      <c r="D27" s="13"/>
      <c r="E27" s="13"/>
      <c r="F27" s="20" t="str">
        <f>IF(A27="","",COUNTIFS('Reel Register'!$C$4:$C$203,A27,'Reel Register'!$E$4:$E$203,B27,'Reel Register'!$F$4:$F$203,C27,'Reel Register'!$G$4:$G$203,D27,'Reel Register'!$I$4:$I$203,E27,'Reel Register'!$N$4:$N$203,"active")+COUNTIFS('Reel Register'!$C$4:$C$203,A27,'Reel Register'!$E$4:$E$203,B27,'Reel Register'!$F$4:$F$203,C27,'Reel Register'!$G$4:$G$203,D27,'Reel Register'!$I$4:$I$203,E27,'Reel Register'!$N$4:$N$203,"low"))</f>
        <v/>
      </c>
      <c r="G27" s="21" t="str">
        <f>IF(A27="","",SUMIFS('Reel Register'!$L$4:$L$203,'Reel Register'!$C$4:$C$203,A27,'Reel Register'!$E$4:$E$203,B27,'Reel Register'!$F$4:$F$203,C27,'Reel Register'!$G$4:$G$203,D27,'Reel Register'!$I$4:$I$203,E27,'Reel Register'!$N$4:$N$203,"active")+SUMIFS('Reel Register'!$L$4:$L$203,'Reel Register'!$C$4:$C$203,A27,'Reel Register'!$E$4:$E$203,B27,'Reel Register'!$F$4:$F$203,C27,'Reel Register'!$G$4:$G$203,D27,'Reel Register'!$I$4:$I$203,E27,'Reel Register'!$N$4:$N$203,"low"))</f>
        <v/>
      </c>
      <c r="H27" s="15" t="str">
        <f>IF(A27="","",IF(F27=0,"zero",IF(G27&lt;Settings!$B$5,"low","ok")))</f>
        <v/>
      </c>
    </row>
    <row r="28" spans="1:8" x14ac:dyDescent="0.45">
      <c r="A28" s="13"/>
      <c r="B28" s="13"/>
      <c r="C28" s="13"/>
      <c r="D28" s="13"/>
      <c r="E28" s="13"/>
      <c r="F28" s="20" t="str">
        <f>IF(A28="","",COUNTIFS('Reel Register'!$C$4:$C$203,A28,'Reel Register'!$E$4:$E$203,B28,'Reel Register'!$F$4:$F$203,C28,'Reel Register'!$G$4:$G$203,D28,'Reel Register'!$I$4:$I$203,E28,'Reel Register'!$N$4:$N$203,"active")+COUNTIFS('Reel Register'!$C$4:$C$203,A28,'Reel Register'!$E$4:$E$203,B28,'Reel Register'!$F$4:$F$203,C28,'Reel Register'!$G$4:$G$203,D28,'Reel Register'!$I$4:$I$203,E28,'Reel Register'!$N$4:$N$203,"low"))</f>
        <v/>
      </c>
      <c r="G28" s="21" t="str">
        <f>IF(A28="","",SUMIFS('Reel Register'!$L$4:$L$203,'Reel Register'!$C$4:$C$203,A28,'Reel Register'!$E$4:$E$203,B28,'Reel Register'!$F$4:$F$203,C28,'Reel Register'!$G$4:$G$203,D28,'Reel Register'!$I$4:$I$203,E28,'Reel Register'!$N$4:$N$203,"active")+SUMIFS('Reel Register'!$L$4:$L$203,'Reel Register'!$C$4:$C$203,A28,'Reel Register'!$E$4:$E$203,B28,'Reel Register'!$F$4:$F$203,C28,'Reel Register'!$G$4:$G$203,D28,'Reel Register'!$I$4:$I$203,E28,'Reel Register'!$N$4:$N$203,"low"))</f>
        <v/>
      </c>
      <c r="H28" s="15" t="str">
        <f>IF(A28="","",IF(F28=0,"zero",IF(G28&lt;Settings!$B$5,"low","ok")))</f>
        <v/>
      </c>
    </row>
    <row r="29" spans="1:8" x14ac:dyDescent="0.45">
      <c r="A29" s="13"/>
      <c r="B29" s="13"/>
      <c r="C29" s="13"/>
      <c r="D29" s="13"/>
      <c r="E29" s="13"/>
      <c r="F29" s="20" t="str">
        <f>IF(A29="","",COUNTIFS('Reel Register'!$C$4:$C$203,A29,'Reel Register'!$E$4:$E$203,B29,'Reel Register'!$F$4:$F$203,C29,'Reel Register'!$G$4:$G$203,D29,'Reel Register'!$I$4:$I$203,E29,'Reel Register'!$N$4:$N$203,"active")+COUNTIFS('Reel Register'!$C$4:$C$203,A29,'Reel Register'!$E$4:$E$203,B29,'Reel Register'!$F$4:$F$203,C29,'Reel Register'!$G$4:$G$203,D29,'Reel Register'!$I$4:$I$203,E29,'Reel Register'!$N$4:$N$203,"low"))</f>
        <v/>
      </c>
      <c r="G29" s="21" t="str">
        <f>IF(A29="","",SUMIFS('Reel Register'!$L$4:$L$203,'Reel Register'!$C$4:$C$203,A29,'Reel Register'!$E$4:$E$203,B29,'Reel Register'!$F$4:$F$203,C29,'Reel Register'!$G$4:$G$203,D29,'Reel Register'!$I$4:$I$203,E29,'Reel Register'!$N$4:$N$203,"active")+SUMIFS('Reel Register'!$L$4:$L$203,'Reel Register'!$C$4:$C$203,A29,'Reel Register'!$E$4:$E$203,B29,'Reel Register'!$F$4:$F$203,C29,'Reel Register'!$G$4:$G$203,D29,'Reel Register'!$I$4:$I$203,E29,'Reel Register'!$N$4:$N$203,"low"))</f>
        <v/>
      </c>
      <c r="H29" s="15" t="str">
        <f>IF(A29="","",IF(F29=0,"zero",IF(G29&lt;Settings!$B$5,"low","ok")))</f>
        <v/>
      </c>
    </row>
    <row r="30" spans="1:8" x14ac:dyDescent="0.45">
      <c r="A30" s="13"/>
      <c r="B30" s="13"/>
      <c r="C30" s="13"/>
      <c r="D30" s="13"/>
      <c r="E30" s="13"/>
      <c r="F30" s="20" t="str">
        <f>IF(A30="","",COUNTIFS('Reel Register'!$C$4:$C$203,A30,'Reel Register'!$E$4:$E$203,B30,'Reel Register'!$F$4:$F$203,C30,'Reel Register'!$G$4:$G$203,D30,'Reel Register'!$I$4:$I$203,E30,'Reel Register'!$N$4:$N$203,"active")+COUNTIFS('Reel Register'!$C$4:$C$203,A30,'Reel Register'!$E$4:$E$203,B30,'Reel Register'!$F$4:$F$203,C30,'Reel Register'!$G$4:$G$203,D30,'Reel Register'!$I$4:$I$203,E30,'Reel Register'!$N$4:$N$203,"low"))</f>
        <v/>
      </c>
      <c r="G30" s="21" t="str">
        <f>IF(A30="","",SUMIFS('Reel Register'!$L$4:$L$203,'Reel Register'!$C$4:$C$203,A30,'Reel Register'!$E$4:$E$203,B30,'Reel Register'!$F$4:$F$203,C30,'Reel Register'!$G$4:$G$203,D30,'Reel Register'!$I$4:$I$203,E30,'Reel Register'!$N$4:$N$203,"active")+SUMIFS('Reel Register'!$L$4:$L$203,'Reel Register'!$C$4:$C$203,A30,'Reel Register'!$E$4:$E$203,B30,'Reel Register'!$F$4:$F$203,C30,'Reel Register'!$G$4:$G$203,D30,'Reel Register'!$I$4:$I$203,E30,'Reel Register'!$N$4:$N$203,"low"))</f>
        <v/>
      </c>
      <c r="H30" s="15" t="str">
        <f>IF(A30="","",IF(F30=0,"zero",IF(G30&lt;Settings!$B$5,"low","ok")))</f>
        <v/>
      </c>
    </row>
    <row r="31" spans="1:8" x14ac:dyDescent="0.45">
      <c r="A31" s="13"/>
      <c r="B31" s="13"/>
      <c r="C31" s="13"/>
      <c r="D31" s="13"/>
      <c r="E31" s="13"/>
      <c r="F31" s="20" t="str">
        <f>IF(A31="","",COUNTIFS('Reel Register'!$C$4:$C$203,A31,'Reel Register'!$E$4:$E$203,B31,'Reel Register'!$F$4:$F$203,C31,'Reel Register'!$G$4:$G$203,D31,'Reel Register'!$I$4:$I$203,E31,'Reel Register'!$N$4:$N$203,"active")+COUNTIFS('Reel Register'!$C$4:$C$203,A31,'Reel Register'!$E$4:$E$203,B31,'Reel Register'!$F$4:$F$203,C31,'Reel Register'!$G$4:$G$203,D31,'Reel Register'!$I$4:$I$203,E31,'Reel Register'!$N$4:$N$203,"low"))</f>
        <v/>
      </c>
      <c r="G31" s="21" t="str">
        <f>IF(A31="","",SUMIFS('Reel Register'!$L$4:$L$203,'Reel Register'!$C$4:$C$203,A31,'Reel Register'!$E$4:$E$203,B31,'Reel Register'!$F$4:$F$203,C31,'Reel Register'!$G$4:$G$203,D31,'Reel Register'!$I$4:$I$203,E31,'Reel Register'!$N$4:$N$203,"active")+SUMIFS('Reel Register'!$L$4:$L$203,'Reel Register'!$C$4:$C$203,A31,'Reel Register'!$E$4:$E$203,B31,'Reel Register'!$F$4:$F$203,C31,'Reel Register'!$G$4:$G$203,D31,'Reel Register'!$I$4:$I$203,E31,'Reel Register'!$N$4:$N$203,"low"))</f>
        <v/>
      </c>
      <c r="H31" s="15" t="str">
        <f>IF(A31="","",IF(F31=0,"zero",IF(G31&lt;Settings!$B$5,"low","ok")))</f>
        <v/>
      </c>
    </row>
    <row r="32" spans="1:8" x14ac:dyDescent="0.45">
      <c r="A32" s="13"/>
      <c r="B32" s="13"/>
      <c r="C32" s="13"/>
      <c r="D32" s="13"/>
      <c r="E32" s="13"/>
      <c r="F32" s="20" t="str">
        <f>IF(A32="","",COUNTIFS('Reel Register'!$C$4:$C$203,A32,'Reel Register'!$E$4:$E$203,B32,'Reel Register'!$F$4:$F$203,C32,'Reel Register'!$G$4:$G$203,D32,'Reel Register'!$I$4:$I$203,E32,'Reel Register'!$N$4:$N$203,"active")+COUNTIFS('Reel Register'!$C$4:$C$203,A32,'Reel Register'!$E$4:$E$203,B32,'Reel Register'!$F$4:$F$203,C32,'Reel Register'!$G$4:$G$203,D32,'Reel Register'!$I$4:$I$203,E32,'Reel Register'!$N$4:$N$203,"low"))</f>
        <v/>
      </c>
      <c r="G32" s="21" t="str">
        <f>IF(A32="","",SUMIFS('Reel Register'!$L$4:$L$203,'Reel Register'!$C$4:$C$203,A32,'Reel Register'!$E$4:$E$203,B32,'Reel Register'!$F$4:$F$203,C32,'Reel Register'!$G$4:$G$203,D32,'Reel Register'!$I$4:$I$203,E32,'Reel Register'!$N$4:$N$203,"active")+SUMIFS('Reel Register'!$L$4:$L$203,'Reel Register'!$C$4:$C$203,A32,'Reel Register'!$E$4:$E$203,B32,'Reel Register'!$F$4:$F$203,C32,'Reel Register'!$G$4:$G$203,D32,'Reel Register'!$I$4:$I$203,E32,'Reel Register'!$N$4:$N$203,"low"))</f>
        <v/>
      </c>
      <c r="H32" s="15" t="str">
        <f>IF(A32="","",IF(F32=0,"zero",IF(G32&lt;Settings!$B$5,"low","ok")))</f>
        <v/>
      </c>
    </row>
    <row r="33" spans="1:8" x14ac:dyDescent="0.45">
      <c r="A33" s="13"/>
      <c r="B33" s="13"/>
      <c r="C33" s="13"/>
      <c r="D33" s="13"/>
      <c r="E33" s="13"/>
      <c r="F33" s="20" t="str">
        <f>IF(A33="","",COUNTIFS('Reel Register'!$C$4:$C$203,A33,'Reel Register'!$E$4:$E$203,B33,'Reel Register'!$F$4:$F$203,C33,'Reel Register'!$G$4:$G$203,D33,'Reel Register'!$I$4:$I$203,E33,'Reel Register'!$N$4:$N$203,"active")+COUNTIFS('Reel Register'!$C$4:$C$203,A33,'Reel Register'!$E$4:$E$203,B33,'Reel Register'!$F$4:$F$203,C33,'Reel Register'!$G$4:$G$203,D33,'Reel Register'!$I$4:$I$203,E33,'Reel Register'!$N$4:$N$203,"low"))</f>
        <v/>
      </c>
      <c r="G33" s="21" t="str">
        <f>IF(A33="","",SUMIFS('Reel Register'!$L$4:$L$203,'Reel Register'!$C$4:$C$203,A33,'Reel Register'!$E$4:$E$203,B33,'Reel Register'!$F$4:$F$203,C33,'Reel Register'!$G$4:$G$203,D33,'Reel Register'!$I$4:$I$203,E33,'Reel Register'!$N$4:$N$203,"active")+SUMIFS('Reel Register'!$L$4:$L$203,'Reel Register'!$C$4:$C$203,A33,'Reel Register'!$E$4:$E$203,B33,'Reel Register'!$F$4:$F$203,C33,'Reel Register'!$G$4:$G$203,D33,'Reel Register'!$I$4:$I$203,E33,'Reel Register'!$N$4:$N$203,"low"))</f>
        <v/>
      </c>
      <c r="H33" s="15" t="str">
        <f>IF(A33="","",IF(F33=0,"zero",IF(G33&lt;Settings!$B$5,"low","ok")))</f>
        <v/>
      </c>
    </row>
    <row r="34" spans="1:8" x14ac:dyDescent="0.45">
      <c r="A34" s="13"/>
      <c r="B34" s="13"/>
      <c r="C34" s="13"/>
      <c r="D34" s="13"/>
      <c r="E34" s="13"/>
      <c r="F34" s="20" t="str">
        <f>IF(A34="","",COUNTIFS('Reel Register'!$C$4:$C$203,A34,'Reel Register'!$E$4:$E$203,B34,'Reel Register'!$F$4:$F$203,C34,'Reel Register'!$G$4:$G$203,D34,'Reel Register'!$I$4:$I$203,E34,'Reel Register'!$N$4:$N$203,"active")+COUNTIFS('Reel Register'!$C$4:$C$203,A34,'Reel Register'!$E$4:$E$203,B34,'Reel Register'!$F$4:$F$203,C34,'Reel Register'!$G$4:$G$203,D34,'Reel Register'!$I$4:$I$203,E34,'Reel Register'!$N$4:$N$203,"low"))</f>
        <v/>
      </c>
      <c r="G34" s="21" t="str">
        <f>IF(A34="","",SUMIFS('Reel Register'!$L$4:$L$203,'Reel Register'!$C$4:$C$203,A34,'Reel Register'!$E$4:$E$203,B34,'Reel Register'!$F$4:$F$203,C34,'Reel Register'!$G$4:$G$203,D34,'Reel Register'!$I$4:$I$203,E34,'Reel Register'!$N$4:$N$203,"active")+SUMIFS('Reel Register'!$L$4:$L$203,'Reel Register'!$C$4:$C$203,A34,'Reel Register'!$E$4:$E$203,B34,'Reel Register'!$F$4:$F$203,C34,'Reel Register'!$G$4:$G$203,D34,'Reel Register'!$I$4:$I$203,E34,'Reel Register'!$N$4:$N$203,"low"))</f>
        <v/>
      </c>
      <c r="H34" s="15" t="str">
        <f>IF(A34="","",IF(F34=0,"zero",IF(G34&lt;Settings!$B$5,"low","ok")))</f>
        <v/>
      </c>
    </row>
    <row r="35" spans="1:8" x14ac:dyDescent="0.45">
      <c r="A35" s="13"/>
      <c r="B35" s="13"/>
      <c r="C35" s="13"/>
      <c r="D35" s="13"/>
      <c r="E35" s="13"/>
      <c r="F35" s="20" t="str">
        <f>IF(A35="","",COUNTIFS('Reel Register'!$C$4:$C$203,A35,'Reel Register'!$E$4:$E$203,B35,'Reel Register'!$F$4:$F$203,C35,'Reel Register'!$G$4:$G$203,D35,'Reel Register'!$I$4:$I$203,E35,'Reel Register'!$N$4:$N$203,"active")+COUNTIFS('Reel Register'!$C$4:$C$203,A35,'Reel Register'!$E$4:$E$203,B35,'Reel Register'!$F$4:$F$203,C35,'Reel Register'!$G$4:$G$203,D35,'Reel Register'!$I$4:$I$203,E35,'Reel Register'!$N$4:$N$203,"low"))</f>
        <v/>
      </c>
      <c r="G35" s="21" t="str">
        <f>IF(A35="","",SUMIFS('Reel Register'!$L$4:$L$203,'Reel Register'!$C$4:$C$203,A35,'Reel Register'!$E$4:$E$203,B35,'Reel Register'!$F$4:$F$203,C35,'Reel Register'!$G$4:$G$203,D35,'Reel Register'!$I$4:$I$203,E35,'Reel Register'!$N$4:$N$203,"active")+SUMIFS('Reel Register'!$L$4:$L$203,'Reel Register'!$C$4:$C$203,A35,'Reel Register'!$E$4:$E$203,B35,'Reel Register'!$F$4:$F$203,C35,'Reel Register'!$G$4:$G$203,D35,'Reel Register'!$I$4:$I$203,E35,'Reel Register'!$N$4:$N$203,"low"))</f>
        <v/>
      </c>
      <c r="H35" s="15" t="str">
        <f>IF(A35="","",IF(F35=0,"zero",IF(G35&lt;Settings!$B$5,"low","ok")))</f>
        <v/>
      </c>
    </row>
    <row r="36" spans="1:8" x14ac:dyDescent="0.45">
      <c r="A36" s="13"/>
      <c r="B36" s="13"/>
      <c r="C36" s="13"/>
      <c r="D36" s="13"/>
      <c r="E36" s="13"/>
      <c r="F36" s="20" t="str">
        <f>IF(A36="","",COUNTIFS('Reel Register'!$C$4:$C$203,A36,'Reel Register'!$E$4:$E$203,B36,'Reel Register'!$F$4:$F$203,C36,'Reel Register'!$G$4:$G$203,D36,'Reel Register'!$I$4:$I$203,E36,'Reel Register'!$N$4:$N$203,"active")+COUNTIFS('Reel Register'!$C$4:$C$203,A36,'Reel Register'!$E$4:$E$203,B36,'Reel Register'!$F$4:$F$203,C36,'Reel Register'!$G$4:$G$203,D36,'Reel Register'!$I$4:$I$203,E36,'Reel Register'!$N$4:$N$203,"low"))</f>
        <v/>
      </c>
      <c r="G36" s="21" t="str">
        <f>IF(A36="","",SUMIFS('Reel Register'!$L$4:$L$203,'Reel Register'!$C$4:$C$203,A36,'Reel Register'!$E$4:$E$203,B36,'Reel Register'!$F$4:$F$203,C36,'Reel Register'!$G$4:$G$203,D36,'Reel Register'!$I$4:$I$203,E36,'Reel Register'!$N$4:$N$203,"active")+SUMIFS('Reel Register'!$L$4:$L$203,'Reel Register'!$C$4:$C$203,A36,'Reel Register'!$E$4:$E$203,B36,'Reel Register'!$F$4:$F$203,C36,'Reel Register'!$G$4:$G$203,D36,'Reel Register'!$I$4:$I$203,E36,'Reel Register'!$N$4:$N$203,"low"))</f>
        <v/>
      </c>
      <c r="H36" s="15" t="str">
        <f>IF(A36="","",IF(F36=0,"zero",IF(G36&lt;Settings!$B$5,"low","ok")))</f>
        <v/>
      </c>
    </row>
    <row r="37" spans="1:8" x14ac:dyDescent="0.45">
      <c r="A37" s="13"/>
      <c r="B37" s="13"/>
      <c r="C37" s="13"/>
      <c r="D37" s="13"/>
      <c r="E37" s="13"/>
      <c r="F37" s="20" t="str">
        <f>IF(A37="","",COUNTIFS('Reel Register'!$C$4:$C$203,A37,'Reel Register'!$E$4:$E$203,B37,'Reel Register'!$F$4:$F$203,C37,'Reel Register'!$G$4:$G$203,D37,'Reel Register'!$I$4:$I$203,E37,'Reel Register'!$N$4:$N$203,"active")+COUNTIFS('Reel Register'!$C$4:$C$203,A37,'Reel Register'!$E$4:$E$203,B37,'Reel Register'!$F$4:$F$203,C37,'Reel Register'!$G$4:$G$203,D37,'Reel Register'!$I$4:$I$203,E37,'Reel Register'!$N$4:$N$203,"low"))</f>
        <v/>
      </c>
      <c r="G37" s="21" t="str">
        <f>IF(A37="","",SUMIFS('Reel Register'!$L$4:$L$203,'Reel Register'!$C$4:$C$203,A37,'Reel Register'!$E$4:$E$203,B37,'Reel Register'!$F$4:$F$203,C37,'Reel Register'!$G$4:$G$203,D37,'Reel Register'!$I$4:$I$203,E37,'Reel Register'!$N$4:$N$203,"active")+SUMIFS('Reel Register'!$L$4:$L$203,'Reel Register'!$C$4:$C$203,A37,'Reel Register'!$E$4:$E$203,B37,'Reel Register'!$F$4:$F$203,C37,'Reel Register'!$G$4:$G$203,D37,'Reel Register'!$I$4:$I$203,E37,'Reel Register'!$N$4:$N$203,"low"))</f>
        <v/>
      </c>
      <c r="H37" s="15" t="str">
        <f>IF(A37="","",IF(F37=0,"zero",IF(G37&lt;Settings!$B$5,"low","ok")))</f>
        <v/>
      </c>
    </row>
    <row r="38" spans="1:8" x14ac:dyDescent="0.45">
      <c r="A38" s="13"/>
      <c r="B38" s="13"/>
      <c r="C38" s="13"/>
      <c r="D38" s="13"/>
      <c r="E38" s="13"/>
      <c r="F38" s="20" t="str">
        <f>IF(A38="","",COUNTIFS('Reel Register'!$C$4:$C$203,A38,'Reel Register'!$E$4:$E$203,B38,'Reel Register'!$F$4:$F$203,C38,'Reel Register'!$G$4:$G$203,D38,'Reel Register'!$I$4:$I$203,E38,'Reel Register'!$N$4:$N$203,"active")+COUNTIFS('Reel Register'!$C$4:$C$203,A38,'Reel Register'!$E$4:$E$203,B38,'Reel Register'!$F$4:$F$203,C38,'Reel Register'!$G$4:$G$203,D38,'Reel Register'!$I$4:$I$203,E38,'Reel Register'!$N$4:$N$203,"low"))</f>
        <v/>
      </c>
      <c r="G38" s="21" t="str">
        <f>IF(A38="","",SUMIFS('Reel Register'!$L$4:$L$203,'Reel Register'!$C$4:$C$203,A38,'Reel Register'!$E$4:$E$203,B38,'Reel Register'!$F$4:$F$203,C38,'Reel Register'!$G$4:$G$203,D38,'Reel Register'!$I$4:$I$203,E38,'Reel Register'!$N$4:$N$203,"active")+SUMIFS('Reel Register'!$L$4:$L$203,'Reel Register'!$C$4:$C$203,A38,'Reel Register'!$E$4:$E$203,B38,'Reel Register'!$F$4:$F$203,C38,'Reel Register'!$G$4:$G$203,D38,'Reel Register'!$I$4:$I$203,E38,'Reel Register'!$N$4:$N$203,"low"))</f>
        <v/>
      </c>
      <c r="H38" s="15" t="str">
        <f>IF(A38="","",IF(F38=0,"zero",IF(G38&lt;Settings!$B$5,"low","ok")))</f>
        <v/>
      </c>
    </row>
    <row r="39" spans="1:8" x14ac:dyDescent="0.45">
      <c r="A39" s="13"/>
      <c r="B39" s="13"/>
      <c r="C39" s="13"/>
      <c r="D39" s="13"/>
      <c r="E39" s="13"/>
      <c r="F39" s="20" t="str">
        <f>IF(A39="","",COUNTIFS('Reel Register'!$C$4:$C$203,A39,'Reel Register'!$E$4:$E$203,B39,'Reel Register'!$F$4:$F$203,C39,'Reel Register'!$G$4:$G$203,D39,'Reel Register'!$I$4:$I$203,E39,'Reel Register'!$N$4:$N$203,"active")+COUNTIFS('Reel Register'!$C$4:$C$203,A39,'Reel Register'!$E$4:$E$203,B39,'Reel Register'!$F$4:$F$203,C39,'Reel Register'!$G$4:$G$203,D39,'Reel Register'!$I$4:$I$203,E39,'Reel Register'!$N$4:$N$203,"low"))</f>
        <v/>
      </c>
      <c r="G39" s="21" t="str">
        <f>IF(A39="","",SUMIFS('Reel Register'!$L$4:$L$203,'Reel Register'!$C$4:$C$203,A39,'Reel Register'!$E$4:$E$203,B39,'Reel Register'!$F$4:$F$203,C39,'Reel Register'!$G$4:$G$203,D39,'Reel Register'!$I$4:$I$203,E39,'Reel Register'!$N$4:$N$203,"active")+SUMIFS('Reel Register'!$L$4:$L$203,'Reel Register'!$C$4:$C$203,A39,'Reel Register'!$E$4:$E$203,B39,'Reel Register'!$F$4:$F$203,C39,'Reel Register'!$G$4:$G$203,D39,'Reel Register'!$I$4:$I$203,E39,'Reel Register'!$N$4:$N$203,"low"))</f>
        <v/>
      </c>
      <c r="H39" s="15" t="str">
        <f>IF(A39="","",IF(F39=0,"zero",IF(G39&lt;Settings!$B$5,"low","ok")))</f>
        <v/>
      </c>
    </row>
    <row r="40" spans="1:8" x14ac:dyDescent="0.45">
      <c r="A40" s="13"/>
      <c r="B40" s="13"/>
      <c r="C40" s="13"/>
      <c r="D40" s="13"/>
      <c r="E40" s="13"/>
      <c r="F40" s="20" t="str">
        <f>IF(A40="","",COUNTIFS('Reel Register'!$C$4:$C$203,A40,'Reel Register'!$E$4:$E$203,B40,'Reel Register'!$F$4:$F$203,C40,'Reel Register'!$G$4:$G$203,D40,'Reel Register'!$I$4:$I$203,E40,'Reel Register'!$N$4:$N$203,"active")+COUNTIFS('Reel Register'!$C$4:$C$203,A40,'Reel Register'!$E$4:$E$203,B40,'Reel Register'!$F$4:$F$203,C40,'Reel Register'!$G$4:$G$203,D40,'Reel Register'!$I$4:$I$203,E40,'Reel Register'!$N$4:$N$203,"low"))</f>
        <v/>
      </c>
      <c r="G40" s="21" t="str">
        <f>IF(A40="","",SUMIFS('Reel Register'!$L$4:$L$203,'Reel Register'!$C$4:$C$203,A40,'Reel Register'!$E$4:$E$203,B40,'Reel Register'!$F$4:$F$203,C40,'Reel Register'!$G$4:$G$203,D40,'Reel Register'!$I$4:$I$203,E40,'Reel Register'!$N$4:$N$203,"active")+SUMIFS('Reel Register'!$L$4:$L$203,'Reel Register'!$C$4:$C$203,A40,'Reel Register'!$E$4:$E$203,B40,'Reel Register'!$F$4:$F$203,C40,'Reel Register'!$G$4:$G$203,D40,'Reel Register'!$I$4:$I$203,E40,'Reel Register'!$N$4:$N$203,"low"))</f>
        <v/>
      </c>
      <c r="H40" s="15" t="str">
        <f>IF(A40="","",IF(F40=0,"zero",IF(G40&lt;Settings!$B$5,"low","ok")))</f>
        <v/>
      </c>
    </row>
    <row r="41" spans="1:8" x14ac:dyDescent="0.45">
      <c r="A41" s="13"/>
      <c r="B41" s="13"/>
      <c r="C41" s="13"/>
      <c r="D41" s="13"/>
      <c r="E41" s="13"/>
      <c r="F41" s="20" t="str">
        <f>IF(A41="","",COUNTIFS('Reel Register'!$C$4:$C$203,A41,'Reel Register'!$E$4:$E$203,B41,'Reel Register'!$F$4:$F$203,C41,'Reel Register'!$G$4:$G$203,D41,'Reel Register'!$I$4:$I$203,E41,'Reel Register'!$N$4:$N$203,"active")+COUNTIFS('Reel Register'!$C$4:$C$203,A41,'Reel Register'!$E$4:$E$203,B41,'Reel Register'!$F$4:$F$203,C41,'Reel Register'!$G$4:$G$203,D41,'Reel Register'!$I$4:$I$203,E41,'Reel Register'!$N$4:$N$203,"low"))</f>
        <v/>
      </c>
      <c r="G41" s="21" t="str">
        <f>IF(A41="","",SUMIFS('Reel Register'!$L$4:$L$203,'Reel Register'!$C$4:$C$203,A41,'Reel Register'!$E$4:$E$203,B41,'Reel Register'!$F$4:$F$203,C41,'Reel Register'!$G$4:$G$203,D41,'Reel Register'!$I$4:$I$203,E41,'Reel Register'!$N$4:$N$203,"active")+SUMIFS('Reel Register'!$L$4:$L$203,'Reel Register'!$C$4:$C$203,A41,'Reel Register'!$E$4:$E$203,B41,'Reel Register'!$F$4:$F$203,C41,'Reel Register'!$G$4:$G$203,D41,'Reel Register'!$I$4:$I$203,E41,'Reel Register'!$N$4:$N$203,"low"))</f>
        <v/>
      </c>
      <c r="H41" s="15" t="str">
        <f>IF(A41="","",IF(F41=0,"zero",IF(G41&lt;Settings!$B$5,"low","ok")))</f>
        <v/>
      </c>
    </row>
    <row r="42" spans="1:8" x14ac:dyDescent="0.45">
      <c r="A42" s="13"/>
      <c r="B42" s="13"/>
      <c r="C42" s="13"/>
      <c r="D42" s="13"/>
      <c r="E42" s="13"/>
      <c r="F42" s="20" t="str">
        <f>IF(A42="","",COUNTIFS('Reel Register'!$C$4:$C$203,A42,'Reel Register'!$E$4:$E$203,B42,'Reel Register'!$F$4:$F$203,C42,'Reel Register'!$G$4:$G$203,D42,'Reel Register'!$I$4:$I$203,E42,'Reel Register'!$N$4:$N$203,"active")+COUNTIFS('Reel Register'!$C$4:$C$203,A42,'Reel Register'!$E$4:$E$203,B42,'Reel Register'!$F$4:$F$203,C42,'Reel Register'!$G$4:$G$203,D42,'Reel Register'!$I$4:$I$203,E42,'Reel Register'!$N$4:$N$203,"low"))</f>
        <v/>
      </c>
      <c r="G42" s="21" t="str">
        <f>IF(A42="","",SUMIFS('Reel Register'!$L$4:$L$203,'Reel Register'!$C$4:$C$203,A42,'Reel Register'!$E$4:$E$203,B42,'Reel Register'!$F$4:$F$203,C42,'Reel Register'!$G$4:$G$203,D42,'Reel Register'!$I$4:$I$203,E42,'Reel Register'!$N$4:$N$203,"active")+SUMIFS('Reel Register'!$L$4:$L$203,'Reel Register'!$C$4:$C$203,A42,'Reel Register'!$E$4:$E$203,B42,'Reel Register'!$F$4:$F$203,C42,'Reel Register'!$G$4:$G$203,D42,'Reel Register'!$I$4:$I$203,E42,'Reel Register'!$N$4:$N$203,"low"))</f>
        <v/>
      </c>
      <c r="H42" s="15" t="str">
        <f>IF(A42="","",IF(F42=0,"zero",IF(G42&lt;Settings!$B$5,"low","ok")))</f>
        <v/>
      </c>
    </row>
    <row r="43" spans="1:8" x14ac:dyDescent="0.45">
      <c r="A43" s="13"/>
      <c r="B43" s="13"/>
      <c r="C43" s="13"/>
      <c r="D43" s="13"/>
      <c r="E43" s="13"/>
      <c r="F43" s="20" t="str">
        <f>IF(A43="","",COUNTIFS('Reel Register'!$C$4:$C$203,A43,'Reel Register'!$E$4:$E$203,B43,'Reel Register'!$F$4:$F$203,C43,'Reel Register'!$G$4:$G$203,D43,'Reel Register'!$I$4:$I$203,E43,'Reel Register'!$N$4:$N$203,"active")+COUNTIFS('Reel Register'!$C$4:$C$203,A43,'Reel Register'!$E$4:$E$203,B43,'Reel Register'!$F$4:$F$203,C43,'Reel Register'!$G$4:$G$203,D43,'Reel Register'!$I$4:$I$203,E43,'Reel Register'!$N$4:$N$203,"low"))</f>
        <v/>
      </c>
      <c r="G43" s="21" t="str">
        <f>IF(A43="","",SUMIFS('Reel Register'!$L$4:$L$203,'Reel Register'!$C$4:$C$203,A43,'Reel Register'!$E$4:$E$203,B43,'Reel Register'!$F$4:$F$203,C43,'Reel Register'!$G$4:$G$203,D43,'Reel Register'!$I$4:$I$203,E43,'Reel Register'!$N$4:$N$203,"active")+SUMIFS('Reel Register'!$L$4:$L$203,'Reel Register'!$C$4:$C$203,A43,'Reel Register'!$E$4:$E$203,B43,'Reel Register'!$F$4:$F$203,C43,'Reel Register'!$G$4:$G$203,D43,'Reel Register'!$I$4:$I$203,E43,'Reel Register'!$N$4:$N$203,"low"))</f>
        <v/>
      </c>
      <c r="H43" s="15" t="str">
        <f>IF(A43="","",IF(F43=0,"zero",IF(G43&lt;Settings!$B$5,"low","ok")))</f>
        <v/>
      </c>
    </row>
    <row r="45" spans="1:8" x14ac:dyDescent="0.45">
      <c r="A45" s="38" t="s">
        <v>106</v>
      </c>
      <c r="B45" s="27"/>
      <c r="C45" s="27"/>
      <c r="D45" s="27"/>
      <c r="E45" s="27"/>
      <c r="F45" s="27"/>
      <c r="G45" s="27"/>
      <c r="H45" s="27"/>
    </row>
  </sheetData>
  <autoFilter ref="A3:H43" xr:uid="{00000000-0009-0000-0000-000004000000}"/>
  <mergeCells count="3">
    <mergeCell ref="A45:H45"/>
    <mergeCell ref="A2:H2"/>
    <mergeCell ref="A1:H1"/>
  </mergeCells>
  <conditionalFormatting sqref="H4:H43">
    <cfRule type="expression" dxfId="4" priority="1">
      <formula>H4="ok"</formula>
    </cfRule>
    <cfRule type="expression" dxfId="3" priority="2">
      <formula>H4="low"</formula>
    </cfRule>
    <cfRule type="expression" dxfId="2" priority="3">
      <formula>H4="zero"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05"/>
  <sheetViews>
    <sheetView workbookViewId="0">
      <pane ySplit="3" topLeftCell="A4" activePane="bottomLeft" state="frozen"/>
      <selection pane="bottomLeft" sqref="A1:M1"/>
    </sheetView>
  </sheetViews>
  <sheetFormatPr defaultRowHeight="14.25" x14ac:dyDescent="0.45"/>
  <cols>
    <col min="1" max="1" width="5" customWidth="1"/>
    <col min="2" max="2" width="11" customWidth="1"/>
    <col min="3" max="3" width="9" customWidth="1"/>
    <col min="4" max="4" width="14" customWidth="1"/>
    <col min="5" max="5" width="10" customWidth="1"/>
    <col min="6" max="6" width="8" customWidth="1"/>
    <col min="7" max="7" width="7" customWidth="1"/>
    <col min="8" max="8" width="8" customWidth="1"/>
    <col min="9" max="12" width="10" customWidth="1"/>
    <col min="13" max="13" width="18" customWidth="1"/>
  </cols>
  <sheetData>
    <row r="1" spans="1:13" ht="20.65" x14ac:dyDescent="0.6">
      <c r="A1" s="26" t="s">
        <v>107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45">
      <c r="A2" s="38" t="str">
        <f>Settings!B4&amp;"  ·  Date: ________  ·  Verified by: ________  ·  Filter Status=active+low before print"</f>
        <v>Pama Paper  ·  Date: ________  ·  Verified by: ________  ·  Filter Status=active+low before print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45">
      <c r="A3" s="22" t="s">
        <v>108</v>
      </c>
      <c r="B3" s="22" t="s">
        <v>43</v>
      </c>
      <c r="C3" s="22" t="s">
        <v>9</v>
      </c>
      <c r="D3" s="22" t="s">
        <v>44</v>
      </c>
      <c r="E3" s="22" t="s">
        <v>109</v>
      </c>
      <c r="F3" s="22" t="s">
        <v>45</v>
      </c>
      <c r="G3" s="22" t="s">
        <v>46</v>
      </c>
      <c r="H3" s="22" t="s">
        <v>49</v>
      </c>
      <c r="I3" s="22" t="s">
        <v>110</v>
      </c>
      <c r="J3" s="22" t="s">
        <v>53</v>
      </c>
      <c r="K3" s="22" t="s">
        <v>111</v>
      </c>
      <c r="L3" s="22" t="s">
        <v>112</v>
      </c>
      <c r="M3" s="22" t="s">
        <v>92</v>
      </c>
    </row>
    <row r="4" spans="1:13" x14ac:dyDescent="0.45">
      <c r="A4" s="15">
        <f>IF('Reel Register'!B4="","",ROW()-3)</f>
        <v>1</v>
      </c>
      <c r="B4" s="23" t="str">
        <f>IF('Reel Register'!B4="","",'Reel Register'!B4)</f>
        <v>R-101</v>
      </c>
      <c r="C4" s="23" t="str">
        <f>IF('Reel Register'!B4="","",'Reel Register'!C4)</f>
        <v>KRAFT</v>
      </c>
      <c r="D4" s="23" t="str">
        <f>IF('Reel Register'!B4="","",'Reel Register'!D4)</f>
        <v>ITC Paper</v>
      </c>
      <c r="E4" s="23">
        <f>IF('Reel Register'!B4="","",'Reel Register'!G4)</f>
        <v>1400</v>
      </c>
      <c r="F4" s="23">
        <f>IF('Reel Register'!B4="","",'Reel Register'!E4)</f>
        <v>120</v>
      </c>
      <c r="G4" s="23">
        <f>IF('Reel Register'!B4="","",'Reel Register'!F4)</f>
        <v>18</v>
      </c>
      <c r="H4" s="23" t="str">
        <f>IF('Reel Register'!B4="","",'Reel Register'!I4)</f>
        <v>NS</v>
      </c>
      <c r="I4" s="21">
        <f>IF('Reel Register'!B4="","",'Reel Register'!L4)</f>
        <v>420</v>
      </c>
      <c r="J4" s="23" t="str">
        <f>IF('Reel Register'!B4="","",'Reel Register'!N4)</f>
        <v>active</v>
      </c>
      <c r="K4" s="24"/>
      <c r="L4" s="24"/>
      <c r="M4" s="24"/>
    </row>
    <row r="5" spans="1:13" x14ac:dyDescent="0.45">
      <c r="A5" s="15">
        <f>IF('Reel Register'!B5="","",ROW()-3)</f>
        <v>2</v>
      </c>
      <c r="B5" s="23" t="str">
        <f>IF('Reel Register'!B5="","",'Reel Register'!B5)</f>
        <v>R-102</v>
      </c>
      <c r="C5" s="23" t="str">
        <f>IF('Reel Register'!B5="","",'Reel Register'!C5)</f>
        <v>KRAFT</v>
      </c>
      <c r="D5" s="23" t="str">
        <f>IF('Reel Register'!B5="","",'Reel Register'!D5)</f>
        <v>ITC Paper</v>
      </c>
      <c r="E5" s="23">
        <f>IF('Reel Register'!B5="","",'Reel Register'!G5)</f>
        <v>1400</v>
      </c>
      <c r="F5" s="23">
        <f>IF('Reel Register'!B5="","",'Reel Register'!E5)</f>
        <v>120</v>
      </c>
      <c r="G5" s="23">
        <f>IF('Reel Register'!B5="","",'Reel Register'!F5)</f>
        <v>18</v>
      </c>
      <c r="H5" s="23" t="str">
        <f>IF('Reel Register'!B5="","",'Reel Register'!I5)</f>
        <v>NS</v>
      </c>
      <c r="I5" s="21">
        <f>IF('Reel Register'!B5="","",'Reel Register'!L5)</f>
        <v>510</v>
      </c>
      <c r="J5" s="23" t="str">
        <f>IF('Reel Register'!B5="","",'Reel Register'!N5)</f>
        <v>active</v>
      </c>
      <c r="K5" s="24"/>
      <c r="L5" s="24"/>
      <c r="M5" s="24"/>
    </row>
    <row r="6" spans="1:13" x14ac:dyDescent="0.45">
      <c r="A6" s="15">
        <f>IF('Reel Register'!B6="","",ROW()-3)</f>
        <v>3</v>
      </c>
      <c r="B6" s="23" t="str">
        <f>IF('Reel Register'!B6="","",'Reel Register'!B6)</f>
        <v>R-103</v>
      </c>
      <c r="C6" s="23" t="str">
        <f>IF('Reel Register'!B6="","",'Reel Register'!C6)</f>
        <v>KRAFT</v>
      </c>
      <c r="D6" s="23" t="str">
        <f>IF('Reel Register'!B6="","",'Reel Register'!D6)</f>
        <v>JK Paper</v>
      </c>
      <c r="E6" s="23">
        <f>IF('Reel Register'!B6="","",'Reel Register'!G6)</f>
        <v>1600</v>
      </c>
      <c r="F6" s="23">
        <f>IF('Reel Register'!B6="","",'Reel Register'!E6)</f>
        <v>140</v>
      </c>
      <c r="G6" s="23">
        <f>IF('Reel Register'!B6="","",'Reel Register'!F6)</f>
        <v>20</v>
      </c>
      <c r="H6" s="23" t="str">
        <f>IF('Reel Register'!B6="","",'Reel Register'!I6)</f>
        <v>NS</v>
      </c>
      <c r="I6" s="21">
        <f>IF('Reel Register'!B6="","",'Reel Register'!L6)</f>
        <v>610</v>
      </c>
      <c r="J6" s="23" t="str">
        <f>IF('Reel Register'!B6="","",'Reel Register'!N6)</f>
        <v>active</v>
      </c>
      <c r="K6" s="24"/>
      <c r="L6" s="24"/>
      <c r="M6" s="24"/>
    </row>
    <row r="7" spans="1:13" x14ac:dyDescent="0.45">
      <c r="A7" s="15">
        <f>IF('Reel Register'!B7="","",ROW()-3)</f>
        <v>4</v>
      </c>
      <c r="B7" s="23" t="str">
        <f>IF('Reel Register'!B7="","",'Reel Register'!B7)</f>
        <v>R-104</v>
      </c>
      <c r="C7" s="23" t="str">
        <f>IF('Reel Register'!B7="","",'Reel Register'!C7)</f>
        <v>DUPLEX</v>
      </c>
      <c r="D7" s="23" t="str">
        <f>IF('Reel Register'!B7="","",'Reel Register'!D7)</f>
        <v>West Coast</v>
      </c>
      <c r="E7" s="23">
        <f>IF('Reel Register'!B7="","",'Reel Register'!G7)</f>
        <v>1200</v>
      </c>
      <c r="F7" s="23">
        <f>IF('Reel Register'!B7="","",'Reel Register'!E7)</f>
        <v>230</v>
      </c>
      <c r="G7" s="23">
        <f>IF('Reel Register'!B7="","",'Reel Register'!F7)</f>
        <v>18</v>
      </c>
      <c r="H7" s="23" t="str">
        <f>IF('Reel Register'!B7="","",'Reel Register'!I7)</f>
        <v>GY</v>
      </c>
      <c r="I7" s="21">
        <f>IF('Reel Register'!B7="","",'Reel Register'!L7)</f>
        <v>480</v>
      </c>
      <c r="J7" s="23" t="str">
        <f>IF('Reel Register'!B7="","",'Reel Register'!N7)</f>
        <v>active</v>
      </c>
      <c r="K7" s="24"/>
      <c r="L7" s="24"/>
      <c r="M7" s="24"/>
    </row>
    <row r="8" spans="1:13" x14ac:dyDescent="0.45">
      <c r="A8" s="15">
        <f>IF('Reel Register'!B8="","",ROW()-3)</f>
        <v>5</v>
      </c>
      <c r="B8" s="23" t="str">
        <f>IF('Reel Register'!B8="","",'Reel Register'!B8)</f>
        <v>R-105</v>
      </c>
      <c r="C8" s="23" t="str">
        <f>IF('Reel Register'!B8="","",'Reel Register'!C8)</f>
        <v>DUPLEX</v>
      </c>
      <c r="D8" s="23" t="str">
        <f>IF('Reel Register'!B8="","",'Reel Register'!D8)</f>
        <v>West Coast</v>
      </c>
      <c r="E8" s="23">
        <f>IF('Reel Register'!B8="","",'Reel Register'!G8)</f>
        <v>1200</v>
      </c>
      <c r="F8" s="23">
        <f>IF('Reel Register'!B8="","",'Reel Register'!E8)</f>
        <v>230</v>
      </c>
      <c r="G8" s="23">
        <f>IF('Reel Register'!B8="","",'Reel Register'!F8)</f>
        <v>18</v>
      </c>
      <c r="H8" s="23" t="str">
        <f>IF('Reel Register'!B8="","",'Reel Register'!I8)</f>
        <v>GY</v>
      </c>
      <c r="I8" s="21">
        <f>IF('Reel Register'!B8="","",'Reel Register'!L8)</f>
        <v>0</v>
      </c>
      <c r="J8" s="23" t="str">
        <f>IF('Reel Register'!B8="","",'Reel Register'!N8)</f>
        <v>consumed</v>
      </c>
      <c r="K8" s="24"/>
      <c r="L8" s="24"/>
      <c r="M8" s="24"/>
    </row>
    <row r="9" spans="1:13" x14ac:dyDescent="0.45">
      <c r="A9" s="15">
        <f>IF('Reel Register'!B9="","",ROW()-3)</f>
        <v>6</v>
      </c>
      <c r="B9" s="23" t="str">
        <f>IF('Reel Register'!B9="","",'Reel Register'!B9)</f>
        <v>R-106</v>
      </c>
      <c r="C9" s="23" t="str">
        <f>IF('Reel Register'!B9="","",'Reel Register'!C9)</f>
        <v>KRAFT</v>
      </c>
      <c r="D9" s="23" t="str">
        <f>IF('Reel Register'!B9="","",'Reel Register'!D9)</f>
        <v>ITC Paper</v>
      </c>
      <c r="E9" s="23">
        <f>IF('Reel Register'!B9="","",'Reel Register'!G9)</f>
        <v>1400</v>
      </c>
      <c r="F9" s="23">
        <f>IF('Reel Register'!B9="","",'Reel Register'!E9)</f>
        <v>150</v>
      </c>
      <c r="G9" s="23">
        <f>IF('Reel Register'!B9="","",'Reel Register'!F9)</f>
        <v>22</v>
      </c>
      <c r="H9" s="23" t="str">
        <f>IF('Reel Register'!B9="","",'Reel Register'!I9)</f>
        <v>NS</v>
      </c>
      <c r="I9" s="21">
        <f>IF('Reel Register'!B9="","",'Reel Register'!L9)</f>
        <v>0</v>
      </c>
      <c r="J9" s="23" t="str">
        <f>IF('Reel Register'!B9="","",'Reel Register'!N9)</f>
        <v>consumed</v>
      </c>
      <c r="K9" s="24"/>
      <c r="L9" s="24"/>
      <c r="M9" s="24"/>
    </row>
    <row r="10" spans="1:13" x14ac:dyDescent="0.45">
      <c r="A10" s="15">
        <f>IF('Reel Register'!B10="","",ROW()-3)</f>
        <v>7</v>
      </c>
      <c r="B10" s="23" t="str">
        <f>IF('Reel Register'!B10="","",'Reel Register'!B10)</f>
        <v>R-107</v>
      </c>
      <c r="C10" s="23" t="str">
        <f>IF('Reel Register'!B10="","",'Reel Register'!C10)</f>
        <v>KRAFT</v>
      </c>
      <c r="D10" s="23" t="str">
        <f>IF('Reel Register'!B10="","",'Reel Register'!D10)</f>
        <v>JK Paper</v>
      </c>
      <c r="E10" s="23">
        <f>IF('Reel Register'!B10="","",'Reel Register'!G10)</f>
        <v>1400</v>
      </c>
      <c r="F10" s="23">
        <f>IF('Reel Register'!B10="","",'Reel Register'!E10)</f>
        <v>120</v>
      </c>
      <c r="G10" s="23">
        <f>IF('Reel Register'!B10="","",'Reel Register'!F10)</f>
        <v>18</v>
      </c>
      <c r="H10" s="23" t="str">
        <f>IF('Reel Register'!B10="","",'Reel Register'!I10)</f>
        <v>NS</v>
      </c>
      <c r="I10" s="21">
        <f>IF('Reel Register'!B10="","",'Reel Register'!L10)</f>
        <v>0</v>
      </c>
      <c r="J10" s="23" t="str">
        <f>IF('Reel Register'!B10="","",'Reel Register'!N10)</f>
        <v>consumed</v>
      </c>
      <c r="K10" s="24"/>
      <c r="L10" s="24"/>
      <c r="M10" s="24"/>
    </row>
    <row r="11" spans="1:13" x14ac:dyDescent="0.45">
      <c r="A11" s="15">
        <f>IF('Reel Register'!B11="","",ROW()-3)</f>
        <v>8</v>
      </c>
      <c r="B11" s="23" t="str">
        <f>IF('Reel Register'!B11="","",'Reel Register'!B11)</f>
        <v>R-108</v>
      </c>
      <c r="C11" s="23" t="str">
        <f>IF('Reel Register'!B11="","",'Reel Register'!C11)</f>
        <v>KRAFT</v>
      </c>
      <c r="D11" s="23" t="str">
        <f>IF('Reel Register'!B11="","",'Reel Register'!D11)</f>
        <v>ITC Paper</v>
      </c>
      <c r="E11" s="23">
        <f>IF('Reel Register'!B11="","",'Reel Register'!G11)</f>
        <v>1800</v>
      </c>
      <c r="F11" s="23">
        <f>IF('Reel Register'!B11="","",'Reel Register'!E11)</f>
        <v>180</v>
      </c>
      <c r="G11" s="23">
        <f>IF('Reel Register'!B11="","",'Reel Register'!F11)</f>
        <v>20</v>
      </c>
      <c r="H11" s="23" t="str">
        <f>IF('Reel Register'!B11="","",'Reel Register'!I11)</f>
        <v>NS</v>
      </c>
      <c r="I11" s="21">
        <f>IF('Reel Register'!B11="","",'Reel Register'!L11)</f>
        <v>720</v>
      </c>
      <c r="J11" s="23" t="str">
        <f>IF('Reel Register'!B11="","",'Reel Register'!N11)</f>
        <v>active</v>
      </c>
      <c r="K11" s="24"/>
      <c r="L11" s="24"/>
      <c r="M11" s="24"/>
    </row>
    <row r="12" spans="1:13" x14ac:dyDescent="0.45">
      <c r="A12" s="15" t="str">
        <f>IF('Reel Register'!B12="","",ROW()-3)</f>
        <v/>
      </c>
      <c r="B12" s="23" t="str">
        <f>IF('Reel Register'!B12="","",'Reel Register'!B12)</f>
        <v/>
      </c>
      <c r="C12" s="23" t="str">
        <f>IF('Reel Register'!B12="","",'Reel Register'!C12)</f>
        <v/>
      </c>
      <c r="D12" s="23" t="str">
        <f>IF('Reel Register'!B12="","",'Reel Register'!D12)</f>
        <v/>
      </c>
      <c r="E12" s="23" t="str">
        <f>IF('Reel Register'!B12="","",'Reel Register'!G12)</f>
        <v/>
      </c>
      <c r="F12" s="23" t="str">
        <f>IF('Reel Register'!B12="","",'Reel Register'!E12)</f>
        <v/>
      </c>
      <c r="G12" s="23" t="str">
        <f>IF('Reel Register'!B12="","",'Reel Register'!F12)</f>
        <v/>
      </c>
      <c r="H12" s="23" t="str">
        <f>IF('Reel Register'!B12="","",'Reel Register'!I12)</f>
        <v/>
      </c>
      <c r="I12" s="21" t="str">
        <f>IF('Reel Register'!B12="","",'Reel Register'!L12)</f>
        <v/>
      </c>
      <c r="J12" s="23" t="str">
        <f>IF('Reel Register'!B12="","",'Reel Register'!N12)</f>
        <v/>
      </c>
      <c r="K12" s="24"/>
      <c r="L12" s="24"/>
      <c r="M12" s="24"/>
    </row>
    <row r="13" spans="1:13" x14ac:dyDescent="0.45">
      <c r="A13" s="15" t="str">
        <f>IF('Reel Register'!B13="","",ROW()-3)</f>
        <v/>
      </c>
      <c r="B13" s="23" t="str">
        <f>IF('Reel Register'!B13="","",'Reel Register'!B13)</f>
        <v/>
      </c>
      <c r="C13" s="23" t="str">
        <f>IF('Reel Register'!B13="","",'Reel Register'!C13)</f>
        <v/>
      </c>
      <c r="D13" s="23" t="str">
        <f>IF('Reel Register'!B13="","",'Reel Register'!D13)</f>
        <v/>
      </c>
      <c r="E13" s="23" t="str">
        <f>IF('Reel Register'!B13="","",'Reel Register'!G13)</f>
        <v/>
      </c>
      <c r="F13" s="23" t="str">
        <f>IF('Reel Register'!B13="","",'Reel Register'!E13)</f>
        <v/>
      </c>
      <c r="G13" s="23" t="str">
        <f>IF('Reel Register'!B13="","",'Reel Register'!F13)</f>
        <v/>
      </c>
      <c r="H13" s="23" t="str">
        <f>IF('Reel Register'!B13="","",'Reel Register'!I13)</f>
        <v/>
      </c>
      <c r="I13" s="21" t="str">
        <f>IF('Reel Register'!B13="","",'Reel Register'!L13)</f>
        <v/>
      </c>
      <c r="J13" s="23" t="str">
        <f>IF('Reel Register'!B13="","",'Reel Register'!N13)</f>
        <v/>
      </c>
      <c r="K13" s="24"/>
      <c r="L13" s="24"/>
      <c r="M13" s="24"/>
    </row>
    <row r="14" spans="1:13" x14ac:dyDescent="0.45">
      <c r="A14" s="15" t="str">
        <f>IF('Reel Register'!B14="","",ROW()-3)</f>
        <v/>
      </c>
      <c r="B14" s="23" t="str">
        <f>IF('Reel Register'!B14="","",'Reel Register'!B14)</f>
        <v/>
      </c>
      <c r="C14" s="23" t="str">
        <f>IF('Reel Register'!B14="","",'Reel Register'!C14)</f>
        <v/>
      </c>
      <c r="D14" s="23" t="str">
        <f>IF('Reel Register'!B14="","",'Reel Register'!D14)</f>
        <v/>
      </c>
      <c r="E14" s="23" t="str">
        <f>IF('Reel Register'!B14="","",'Reel Register'!G14)</f>
        <v/>
      </c>
      <c r="F14" s="23" t="str">
        <f>IF('Reel Register'!B14="","",'Reel Register'!E14)</f>
        <v/>
      </c>
      <c r="G14" s="23" t="str">
        <f>IF('Reel Register'!B14="","",'Reel Register'!F14)</f>
        <v/>
      </c>
      <c r="H14" s="23" t="str">
        <f>IF('Reel Register'!B14="","",'Reel Register'!I14)</f>
        <v/>
      </c>
      <c r="I14" s="21" t="str">
        <f>IF('Reel Register'!B14="","",'Reel Register'!L14)</f>
        <v/>
      </c>
      <c r="J14" s="23" t="str">
        <f>IF('Reel Register'!B14="","",'Reel Register'!N14)</f>
        <v/>
      </c>
      <c r="K14" s="24"/>
      <c r="L14" s="24"/>
      <c r="M14" s="24"/>
    </row>
    <row r="15" spans="1:13" x14ac:dyDescent="0.45">
      <c r="A15" s="15" t="str">
        <f>IF('Reel Register'!B15="","",ROW()-3)</f>
        <v/>
      </c>
      <c r="B15" s="23" t="str">
        <f>IF('Reel Register'!B15="","",'Reel Register'!B15)</f>
        <v/>
      </c>
      <c r="C15" s="23" t="str">
        <f>IF('Reel Register'!B15="","",'Reel Register'!C15)</f>
        <v/>
      </c>
      <c r="D15" s="23" t="str">
        <f>IF('Reel Register'!B15="","",'Reel Register'!D15)</f>
        <v/>
      </c>
      <c r="E15" s="23" t="str">
        <f>IF('Reel Register'!B15="","",'Reel Register'!G15)</f>
        <v/>
      </c>
      <c r="F15" s="23" t="str">
        <f>IF('Reel Register'!B15="","",'Reel Register'!E15)</f>
        <v/>
      </c>
      <c r="G15" s="23" t="str">
        <f>IF('Reel Register'!B15="","",'Reel Register'!F15)</f>
        <v/>
      </c>
      <c r="H15" s="23" t="str">
        <f>IF('Reel Register'!B15="","",'Reel Register'!I15)</f>
        <v/>
      </c>
      <c r="I15" s="21" t="str">
        <f>IF('Reel Register'!B15="","",'Reel Register'!L15)</f>
        <v/>
      </c>
      <c r="J15" s="23" t="str">
        <f>IF('Reel Register'!B15="","",'Reel Register'!N15)</f>
        <v/>
      </c>
      <c r="K15" s="24"/>
      <c r="L15" s="24"/>
      <c r="M15" s="24"/>
    </row>
    <row r="16" spans="1:13" x14ac:dyDescent="0.45">
      <c r="A16" s="15" t="str">
        <f>IF('Reel Register'!B16="","",ROW()-3)</f>
        <v/>
      </c>
      <c r="B16" s="23" t="str">
        <f>IF('Reel Register'!B16="","",'Reel Register'!B16)</f>
        <v/>
      </c>
      <c r="C16" s="23" t="str">
        <f>IF('Reel Register'!B16="","",'Reel Register'!C16)</f>
        <v/>
      </c>
      <c r="D16" s="23" t="str">
        <f>IF('Reel Register'!B16="","",'Reel Register'!D16)</f>
        <v/>
      </c>
      <c r="E16" s="23" t="str">
        <f>IF('Reel Register'!B16="","",'Reel Register'!G16)</f>
        <v/>
      </c>
      <c r="F16" s="23" t="str">
        <f>IF('Reel Register'!B16="","",'Reel Register'!E16)</f>
        <v/>
      </c>
      <c r="G16" s="23" t="str">
        <f>IF('Reel Register'!B16="","",'Reel Register'!F16)</f>
        <v/>
      </c>
      <c r="H16" s="23" t="str">
        <f>IF('Reel Register'!B16="","",'Reel Register'!I16)</f>
        <v/>
      </c>
      <c r="I16" s="21" t="str">
        <f>IF('Reel Register'!B16="","",'Reel Register'!L16)</f>
        <v/>
      </c>
      <c r="J16" s="23" t="str">
        <f>IF('Reel Register'!B16="","",'Reel Register'!N16)</f>
        <v/>
      </c>
      <c r="K16" s="24"/>
      <c r="L16" s="24"/>
      <c r="M16" s="24"/>
    </row>
    <row r="17" spans="1:13" x14ac:dyDescent="0.45">
      <c r="A17" s="15" t="str">
        <f>IF('Reel Register'!B17="","",ROW()-3)</f>
        <v/>
      </c>
      <c r="B17" s="23" t="str">
        <f>IF('Reel Register'!B17="","",'Reel Register'!B17)</f>
        <v/>
      </c>
      <c r="C17" s="23" t="str">
        <f>IF('Reel Register'!B17="","",'Reel Register'!C17)</f>
        <v/>
      </c>
      <c r="D17" s="23" t="str">
        <f>IF('Reel Register'!B17="","",'Reel Register'!D17)</f>
        <v/>
      </c>
      <c r="E17" s="23" t="str">
        <f>IF('Reel Register'!B17="","",'Reel Register'!G17)</f>
        <v/>
      </c>
      <c r="F17" s="23" t="str">
        <f>IF('Reel Register'!B17="","",'Reel Register'!E17)</f>
        <v/>
      </c>
      <c r="G17" s="23" t="str">
        <f>IF('Reel Register'!B17="","",'Reel Register'!F17)</f>
        <v/>
      </c>
      <c r="H17" s="23" t="str">
        <f>IF('Reel Register'!B17="","",'Reel Register'!I17)</f>
        <v/>
      </c>
      <c r="I17" s="21" t="str">
        <f>IF('Reel Register'!B17="","",'Reel Register'!L17)</f>
        <v/>
      </c>
      <c r="J17" s="23" t="str">
        <f>IF('Reel Register'!B17="","",'Reel Register'!N17)</f>
        <v/>
      </c>
      <c r="K17" s="24"/>
      <c r="L17" s="24"/>
      <c r="M17" s="24"/>
    </row>
    <row r="18" spans="1:13" x14ac:dyDescent="0.45">
      <c r="A18" s="15" t="str">
        <f>IF('Reel Register'!B18="","",ROW()-3)</f>
        <v/>
      </c>
      <c r="B18" s="23" t="str">
        <f>IF('Reel Register'!B18="","",'Reel Register'!B18)</f>
        <v/>
      </c>
      <c r="C18" s="23" t="str">
        <f>IF('Reel Register'!B18="","",'Reel Register'!C18)</f>
        <v/>
      </c>
      <c r="D18" s="23" t="str">
        <f>IF('Reel Register'!B18="","",'Reel Register'!D18)</f>
        <v/>
      </c>
      <c r="E18" s="23" t="str">
        <f>IF('Reel Register'!B18="","",'Reel Register'!G18)</f>
        <v/>
      </c>
      <c r="F18" s="23" t="str">
        <f>IF('Reel Register'!B18="","",'Reel Register'!E18)</f>
        <v/>
      </c>
      <c r="G18" s="23" t="str">
        <f>IF('Reel Register'!B18="","",'Reel Register'!F18)</f>
        <v/>
      </c>
      <c r="H18" s="23" t="str">
        <f>IF('Reel Register'!B18="","",'Reel Register'!I18)</f>
        <v/>
      </c>
      <c r="I18" s="21" t="str">
        <f>IF('Reel Register'!B18="","",'Reel Register'!L18)</f>
        <v/>
      </c>
      <c r="J18" s="23" t="str">
        <f>IF('Reel Register'!B18="","",'Reel Register'!N18)</f>
        <v/>
      </c>
      <c r="K18" s="24"/>
      <c r="L18" s="24"/>
      <c r="M18" s="24"/>
    </row>
    <row r="19" spans="1:13" x14ac:dyDescent="0.45">
      <c r="A19" s="15" t="str">
        <f>IF('Reel Register'!B19="","",ROW()-3)</f>
        <v/>
      </c>
      <c r="B19" s="23" t="str">
        <f>IF('Reel Register'!B19="","",'Reel Register'!B19)</f>
        <v/>
      </c>
      <c r="C19" s="23" t="str">
        <f>IF('Reel Register'!B19="","",'Reel Register'!C19)</f>
        <v/>
      </c>
      <c r="D19" s="23" t="str">
        <f>IF('Reel Register'!B19="","",'Reel Register'!D19)</f>
        <v/>
      </c>
      <c r="E19" s="23" t="str">
        <f>IF('Reel Register'!B19="","",'Reel Register'!G19)</f>
        <v/>
      </c>
      <c r="F19" s="23" t="str">
        <f>IF('Reel Register'!B19="","",'Reel Register'!E19)</f>
        <v/>
      </c>
      <c r="G19" s="23" t="str">
        <f>IF('Reel Register'!B19="","",'Reel Register'!F19)</f>
        <v/>
      </c>
      <c r="H19" s="23" t="str">
        <f>IF('Reel Register'!B19="","",'Reel Register'!I19)</f>
        <v/>
      </c>
      <c r="I19" s="21" t="str">
        <f>IF('Reel Register'!B19="","",'Reel Register'!L19)</f>
        <v/>
      </c>
      <c r="J19" s="23" t="str">
        <f>IF('Reel Register'!B19="","",'Reel Register'!N19)</f>
        <v/>
      </c>
      <c r="K19" s="24"/>
      <c r="L19" s="24"/>
      <c r="M19" s="24"/>
    </row>
    <row r="20" spans="1:13" x14ac:dyDescent="0.45">
      <c r="A20" s="15" t="str">
        <f>IF('Reel Register'!B20="","",ROW()-3)</f>
        <v/>
      </c>
      <c r="B20" s="23" t="str">
        <f>IF('Reel Register'!B20="","",'Reel Register'!B20)</f>
        <v/>
      </c>
      <c r="C20" s="23" t="str">
        <f>IF('Reel Register'!B20="","",'Reel Register'!C20)</f>
        <v/>
      </c>
      <c r="D20" s="23" t="str">
        <f>IF('Reel Register'!B20="","",'Reel Register'!D20)</f>
        <v/>
      </c>
      <c r="E20" s="23" t="str">
        <f>IF('Reel Register'!B20="","",'Reel Register'!G20)</f>
        <v/>
      </c>
      <c r="F20" s="23" t="str">
        <f>IF('Reel Register'!B20="","",'Reel Register'!E20)</f>
        <v/>
      </c>
      <c r="G20" s="23" t="str">
        <f>IF('Reel Register'!B20="","",'Reel Register'!F20)</f>
        <v/>
      </c>
      <c r="H20" s="23" t="str">
        <f>IF('Reel Register'!B20="","",'Reel Register'!I20)</f>
        <v/>
      </c>
      <c r="I20" s="21" t="str">
        <f>IF('Reel Register'!B20="","",'Reel Register'!L20)</f>
        <v/>
      </c>
      <c r="J20" s="23" t="str">
        <f>IF('Reel Register'!B20="","",'Reel Register'!N20)</f>
        <v/>
      </c>
      <c r="K20" s="24"/>
      <c r="L20" s="24"/>
      <c r="M20" s="24"/>
    </row>
    <row r="21" spans="1:13" x14ac:dyDescent="0.45">
      <c r="A21" s="15" t="str">
        <f>IF('Reel Register'!B21="","",ROW()-3)</f>
        <v/>
      </c>
      <c r="B21" s="23" t="str">
        <f>IF('Reel Register'!B21="","",'Reel Register'!B21)</f>
        <v/>
      </c>
      <c r="C21" s="23" t="str">
        <f>IF('Reel Register'!B21="","",'Reel Register'!C21)</f>
        <v/>
      </c>
      <c r="D21" s="23" t="str">
        <f>IF('Reel Register'!B21="","",'Reel Register'!D21)</f>
        <v/>
      </c>
      <c r="E21" s="23" t="str">
        <f>IF('Reel Register'!B21="","",'Reel Register'!G21)</f>
        <v/>
      </c>
      <c r="F21" s="23" t="str">
        <f>IF('Reel Register'!B21="","",'Reel Register'!E21)</f>
        <v/>
      </c>
      <c r="G21" s="23" t="str">
        <f>IF('Reel Register'!B21="","",'Reel Register'!F21)</f>
        <v/>
      </c>
      <c r="H21" s="23" t="str">
        <f>IF('Reel Register'!B21="","",'Reel Register'!I21)</f>
        <v/>
      </c>
      <c r="I21" s="21" t="str">
        <f>IF('Reel Register'!B21="","",'Reel Register'!L21)</f>
        <v/>
      </c>
      <c r="J21" s="23" t="str">
        <f>IF('Reel Register'!B21="","",'Reel Register'!N21)</f>
        <v/>
      </c>
      <c r="K21" s="24"/>
      <c r="L21" s="24"/>
      <c r="M21" s="24"/>
    </row>
    <row r="22" spans="1:13" x14ac:dyDescent="0.45">
      <c r="A22" s="15" t="str">
        <f>IF('Reel Register'!B22="","",ROW()-3)</f>
        <v/>
      </c>
      <c r="B22" s="23" t="str">
        <f>IF('Reel Register'!B22="","",'Reel Register'!B22)</f>
        <v/>
      </c>
      <c r="C22" s="23" t="str">
        <f>IF('Reel Register'!B22="","",'Reel Register'!C22)</f>
        <v/>
      </c>
      <c r="D22" s="23" t="str">
        <f>IF('Reel Register'!B22="","",'Reel Register'!D22)</f>
        <v/>
      </c>
      <c r="E22" s="23" t="str">
        <f>IF('Reel Register'!B22="","",'Reel Register'!G22)</f>
        <v/>
      </c>
      <c r="F22" s="23" t="str">
        <f>IF('Reel Register'!B22="","",'Reel Register'!E22)</f>
        <v/>
      </c>
      <c r="G22" s="23" t="str">
        <f>IF('Reel Register'!B22="","",'Reel Register'!F22)</f>
        <v/>
      </c>
      <c r="H22" s="23" t="str">
        <f>IF('Reel Register'!B22="","",'Reel Register'!I22)</f>
        <v/>
      </c>
      <c r="I22" s="21" t="str">
        <f>IF('Reel Register'!B22="","",'Reel Register'!L22)</f>
        <v/>
      </c>
      <c r="J22" s="23" t="str">
        <f>IF('Reel Register'!B22="","",'Reel Register'!N22)</f>
        <v/>
      </c>
      <c r="K22" s="24"/>
      <c r="L22" s="24"/>
      <c r="M22" s="24"/>
    </row>
    <row r="23" spans="1:13" x14ac:dyDescent="0.45">
      <c r="A23" s="15" t="str">
        <f>IF('Reel Register'!B23="","",ROW()-3)</f>
        <v/>
      </c>
      <c r="B23" s="23" t="str">
        <f>IF('Reel Register'!B23="","",'Reel Register'!B23)</f>
        <v/>
      </c>
      <c r="C23" s="23" t="str">
        <f>IF('Reel Register'!B23="","",'Reel Register'!C23)</f>
        <v/>
      </c>
      <c r="D23" s="23" t="str">
        <f>IF('Reel Register'!B23="","",'Reel Register'!D23)</f>
        <v/>
      </c>
      <c r="E23" s="23" t="str">
        <f>IF('Reel Register'!B23="","",'Reel Register'!G23)</f>
        <v/>
      </c>
      <c r="F23" s="23" t="str">
        <f>IF('Reel Register'!B23="","",'Reel Register'!E23)</f>
        <v/>
      </c>
      <c r="G23" s="23" t="str">
        <f>IF('Reel Register'!B23="","",'Reel Register'!F23)</f>
        <v/>
      </c>
      <c r="H23" s="23" t="str">
        <f>IF('Reel Register'!B23="","",'Reel Register'!I23)</f>
        <v/>
      </c>
      <c r="I23" s="21" t="str">
        <f>IF('Reel Register'!B23="","",'Reel Register'!L23)</f>
        <v/>
      </c>
      <c r="J23" s="23" t="str">
        <f>IF('Reel Register'!B23="","",'Reel Register'!N23)</f>
        <v/>
      </c>
      <c r="K23" s="24"/>
      <c r="L23" s="24"/>
      <c r="M23" s="24"/>
    </row>
    <row r="24" spans="1:13" x14ac:dyDescent="0.45">
      <c r="A24" s="15" t="str">
        <f>IF('Reel Register'!B24="","",ROW()-3)</f>
        <v/>
      </c>
      <c r="B24" s="23" t="str">
        <f>IF('Reel Register'!B24="","",'Reel Register'!B24)</f>
        <v/>
      </c>
      <c r="C24" s="23" t="str">
        <f>IF('Reel Register'!B24="","",'Reel Register'!C24)</f>
        <v/>
      </c>
      <c r="D24" s="23" t="str">
        <f>IF('Reel Register'!B24="","",'Reel Register'!D24)</f>
        <v/>
      </c>
      <c r="E24" s="23" t="str">
        <f>IF('Reel Register'!B24="","",'Reel Register'!G24)</f>
        <v/>
      </c>
      <c r="F24" s="23" t="str">
        <f>IF('Reel Register'!B24="","",'Reel Register'!E24)</f>
        <v/>
      </c>
      <c r="G24" s="23" t="str">
        <f>IF('Reel Register'!B24="","",'Reel Register'!F24)</f>
        <v/>
      </c>
      <c r="H24" s="23" t="str">
        <f>IF('Reel Register'!B24="","",'Reel Register'!I24)</f>
        <v/>
      </c>
      <c r="I24" s="21" t="str">
        <f>IF('Reel Register'!B24="","",'Reel Register'!L24)</f>
        <v/>
      </c>
      <c r="J24" s="23" t="str">
        <f>IF('Reel Register'!B24="","",'Reel Register'!N24)</f>
        <v/>
      </c>
      <c r="K24" s="24"/>
      <c r="L24" s="24"/>
      <c r="M24" s="24"/>
    </row>
    <row r="25" spans="1:13" x14ac:dyDescent="0.45">
      <c r="A25" s="15" t="str">
        <f>IF('Reel Register'!B25="","",ROW()-3)</f>
        <v/>
      </c>
      <c r="B25" s="23" t="str">
        <f>IF('Reel Register'!B25="","",'Reel Register'!B25)</f>
        <v/>
      </c>
      <c r="C25" s="23" t="str">
        <f>IF('Reel Register'!B25="","",'Reel Register'!C25)</f>
        <v/>
      </c>
      <c r="D25" s="23" t="str">
        <f>IF('Reel Register'!B25="","",'Reel Register'!D25)</f>
        <v/>
      </c>
      <c r="E25" s="23" t="str">
        <f>IF('Reel Register'!B25="","",'Reel Register'!G25)</f>
        <v/>
      </c>
      <c r="F25" s="23" t="str">
        <f>IF('Reel Register'!B25="","",'Reel Register'!E25)</f>
        <v/>
      </c>
      <c r="G25" s="23" t="str">
        <f>IF('Reel Register'!B25="","",'Reel Register'!F25)</f>
        <v/>
      </c>
      <c r="H25" s="23" t="str">
        <f>IF('Reel Register'!B25="","",'Reel Register'!I25)</f>
        <v/>
      </c>
      <c r="I25" s="21" t="str">
        <f>IF('Reel Register'!B25="","",'Reel Register'!L25)</f>
        <v/>
      </c>
      <c r="J25" s="23" t="str">
        <f>IF('Reel Register'!B25="","",'Reel Register'!N25)</f>
        <v/>
      </c>
      <c r="K25" s="24"/>
      <c r="L25" s="24"/>
      <c r="M25" s="24"/>
    </row>
    <row r="26" spans="1:13" x14ac:dyDescent="0.45">
      <c r="A26" s="15" t="str">
        <f>IF('Reel Register'!B26="","",ROW()-3)</f>
        <v/>
      </c>
      <c r="B26" s="23" t="str">
        <f>IF('Reel Register'!B26="","",'Reel Register'!B26)</f>
        <v/>
      </c>
      <c r="C26" s="23" t="str">
        <f>IF('Reel Register'!B26="","",'Reel Register'!C26)</f>
        <v/>
      </c>
      <c r="D26" s="23" t="str">
        <f>IF('Reel Register'!B26="","",'Reel Register'!D26)</f>
        <v/>
      </c>
      <c r="E26" s="23" t="str">
        <f>IF('Reel Register'!B26="","",'Reel Register'!G26)</f>
        <v/>
      </c>
      <c r="F26" s="23" t="str">
        <f>IF('Reel Register'!B26="","",'Reel Register'!E26)</f>
        <v/>
      </c>
      <c r="G26" s="23" t="str">
        <f>IF('Reel Register'!B26="","",'Reel Register'!F26)</f>
        <v/>
      </c>
      <c r="H26" s="23" t="str">
        <f>IF('Reel Register'!B26="","",'Reel Register'!I26)</f>
        <v/>
      </c>
      <c r="I26" s="21" t="str">
        <f>IF('Reel Register'!B26="","",'Reel Register'!L26)</f>
        <v/>
      </c>
      <c r="J26" s="23" t="str">
        <f>IF('Reel Register'!B26="","",'Reel Register'!N26)</f>
        <v/>
      </c>
      <c r="K26" s="24"/>
      <c r="L26" s="24"/>
      <c r="M26" s="24"/>
    </row>
    <row r="27" spans="1:13" x14ac:dyDescent="0.45">
      <c r="A27" s="15" t="str">
        <f>IF('Reel Register'!B27="","",ROW()-3)</f>
        <v/>
      </c>
      <c r="B27" s="23" t="str">
        <f>IF('Reel Register'!B27="","",'Reel Register'!B27)</f>
        <v/>
      </c>
      <c r="C27" s="23" t="str">
        <f>IF('Reel Register'!B27="","",'Reel Register'!C27)</f>
        <v/>
      </c>
      <c r="D27" s="23" t="str">
        <f>IF('Reel Register'!B27="","",'Reel Register'!D27)</f>
        <v/>
      </c>
      <c r="E27" s="23" t="str">
        <f>IF('Reel Register'!B27="","",'Reel Register'!G27)</f>
        <v/>
      </c>
      <c r="F27" s="23" t="str">
        <f>IF('Reel Register'!B27="","",'Reel Register'!E27)</f>
        <v/>
      </c>
      <c r="G27" s="23" t="str">
        <f>IF('Reel Register'!B27="","",'Reel Register'!F27)</f>
        <v/>
      </c>
      <c r="H27" s="23" t="str">
        <f>IF('Reel Register'!B27="","",'Reel Register'!I27)</f>
        <v/>
      </c>
      <c r="I27" s="21" t="str">
        <f>IF('Reel Register'!B27="","",'Reel Register'!L27)</f>
        <v/>
      </c>
      <c r="J27" s="23" t="str">
        <f>IF('Reel Register'!B27="","",'Reel Register'!N27)</f>
        <v/>
      </c>
      <c r="K27" s="24"/>
      <c r="L27" s="24"/>
      <c r="M27" s="24"/>
    </row>
    <row r="28" spans="1:13" x14ac:dyDescent="0.45">
      <c r="A28" s="15" t="str">
        <f>IF('Reel Register'!B28="","",ROW()-3)</f>
        <v/>
      </c>
      <c r="B28" s="23" t="str">
        <f>IF('Reel Register'!B28="","",'Reel Register'!B28)</f>
        <v/>
      </c>
      <c r="C28" s="23" t="str">
        <f>IF('Reel Register'!B28="","",'Reel Register'!C28)</f>
        <v/>
      </c>
      <c r="D28" s="23" t="str">
        <f>IF('Reel Register'!B28="","",'Reel Register'!D28)</f>
        <v/>
      </c>
      <c r="E28" s="23" t="str">
        <f>IF('Reel Register'!B28="","",'Reel Register'!G28)</f>
        <v/>
      </c>
      <c r="F28" s="23" t="str">
        <f>IF('Reel Register'!B28="","",'Reel Register'!E28)</f>
        <v/>
      </c>
      <c r="G28" s="23" t="str">
        <f>IF('Reel Register'!B28="","",'Reel Register'!F28)</f>
        <v/>
      </c>
      <c r="H28" s="23" t="str">
        <f>IF('Reel Register'!B28="","",'Reel Register'!I28)</f>
        <v/>
      </c>
      <c r="I28" s="21" t="str">
        <f>IF('Reel Register'!B28="","",'Reel Register'!L28)</f>
        <v/>
      </c>
      <c r="J28" s="23" t="str">
        <f>IF('Reel Register'!B28="","",'Reel Register'!N28)</f>
        <v/>
      </c>
      <c r="K28" s="24"/>
      <c r="L28" s="24"/>
      <c r="M28" s="24"/>
    </row>
    <row r="29" spans="1:13" x14ac:dyDescent="0.45">
      <c r="A29" s="15" t="str">
        <f>IF('Reel Register'!B29="","",ROW()-3)</f>
        <v/>
      </c>
      <c r="B29" s="23" t="str">
        <f>IF('Reel Register'!B29="","",'Reel Register'!B29)</f>
        <v/>
      </c>
      <c r="C29" s="23" t="str">
        <f>IF('Reel Register'!B29="","",'Reel Register'!C29)</f>
        <v/>
      </c>
      <c r="D29" s="23" t="str">
        <f>IF('Reel Register'!B29="","",'Reel Register'!D29)</f>
        <v/>
      </c>
      <c r="E29" s="23" t="str">
        <f>IF('Reel Register'!B29="","",'Reel Register'!G29)</f>
        <v/>
      </c>
      <c r="F29" s="23" t="str">
        <f>IF('Reel Register'!B29="","",'Reel Register'!E29)</f>
        <v/>
      </c>
      <c r="G29" s="23" t="str">
        <f>IF('Reel Register'!B29="","",'Reel Register'!F29)</f>
        <v/>
      </c>
      <c r="H29" s="23" t="str">
        <f>IF('Reel Register'!B29="","",'Reel Register'!I29)</f>
        <v/>
      </c>
      <c r="I29" s="21" t="str">
        <f>IF('Reel Register'!B29="","",'Reel Register'!L29)</f>
        <v/>
      </c>
      <c r="J29" s="23" t="str">
        <f>IF('Reel Register'!B29="","",'Reel Register'!N29)</f>
        <v/>
      </c>
      <c r="K29" s="24"/>
      <c r="L29" s="24"/>
      <c r="M29" s="24"/>
    </row>
    <row r="30" spans="1:13" x14ac:dyDescent="0.45">
      <c r="A30" s="15" t="str">
        <f>IF('Reel Register'!B30="","",ROW()-3)</f>
        <v/>
      </c>
      <c r="B30" s="23" t="str">
        <f>IF('Reel Register'!B30="","",'Reel Register'!B30)</f>
        <v/>
      </c>
      <c r="C30" s="23" t="str">
        <f>IF('Reel Register'!B30="","",'Reel Register'!C30)</f>
        <v/>
      </c>
      <c r="D30" s="23" t="str">
        <f>IF('Reel Register'!B30="","",'Reel Register'!D30)</f>
        <v/>
      </c>
      <c r="E30" s="23" t="str">
        <f>IF('Reel Register'!B30="","",'Reel Register'!G30)</f>
        <v/>
      </c>
      <c r="F30" s="23" t="str">
        <f>IF('Reel Register'!B30="","",'Reel Register'!E30)</f>
        <v/>
      </c>
      <c r="G30" s="23" t="str">
        <f>IF('Reel Register'!B30="","",'Reel Register'!F30)</f>
        <v/>
      </c>
      <c r="H30" s="23" t="str">
        <f>IF('Reel Register'!B30="","",'Reel Register'!I30)</f>
        <v/>
      </c>
      <c r="I30" s="21" t="str">
        <f>IF('Reel Register'!B30="","",'Reel Register'!L30)</f>
        <v/>
      </c>
      <c r="J30" s="23" t="str">
        <f>IF('Reel Register'!B30="","",'Reel Register'!N30)</f>
        <v/>
      </c>
      <c r="K30" s="24"/>
      <c r="L30" s="24"/>
      <c r="M30" s="24"/>
    </row>
    <row r="31" spans="1:13" x14ac:dyDescent="0.45">
      <c r="A31" s="15" t="str">
        <f>IF('Reel Register'!B31="","",ROW()-3)</f>
        <v/>
      </c>
      <c r="B31" s="23" t="str">
        <f>IF('Reel Register'!B31="","",'Reel Register'!B31)</f>
        <v/>
      </c>
      <c r="C31" s="23" t="str">
        <f>IF('Reel Register'!B31="","",'Reel Register'!C31)</f>
        <v/>
      </c>
      <c r="D31" s="23" t="str">
        <f>IF('Reel Register'!B31="","",'Reel Register'!D31)</f>
        <v/>
      </c>
      <c r="E31" s="23" t="str">
        <f>IF('Reel Register'!B31="","",'Reel Register'!G31)</f>
        <v/>
      </c>
      <c r="F31" s="23" t="str">
        <f>IF('Reel Register'!B31="","",'Reel Register'!E31)</f>
        <v/>
      </c>
      <c r="G31" s="23" t="str">
        <f>IF('Reel Register'!B31="","",'Reel Register'!F31)</f>
        <v/>
      </c>
      <c r="H31" s="23" t="str">
        <f>IF('Reel Register'!B31="","",'Reel Register'!I31)</f>
        <v/>
      </c>
      <c r="I31" s="21" t="str">
        <f>IF('Reel Register'!B31="","",'Reel Register'!L31)</f>
        <v/>
      </c>
      <c r="J31" s="23" t="str">
        <f>IF('Reel Register'!B31="","",'Reel Register'!N31)</f>
        <v/>
      </c>
      <c r="K31" s="24"/>
      <c r="L31" s="24"/>
      <c r="M31" s="24"/>
    </row>
    <row r="32" spans="1:13" x14ac:dyDescent="0.45">
      <c r="A32" s="15" t="str">
        <f>IF('Reel Register'!B32="","",ROW()-3)</f>
        <v/>
      </c>
      <c r="B32" s="23" t="str">
        <f>IF('Reel Register'!B32="","",'Reel Register'!B32)</f>
        <v/>
      </c>
      <c r="C32" s="23" t="str">
        <f>IF('Reel Register'!B32="","",'Reel Register'!C32)</f>
        <v/>
      </c>
      <c r="D32" s="23" t="str">
        <f>IF('Reel Register'!B32="","",'Reel Register'!D32)</f>
        <v/>
      </c>
      <c r="E32" s="23" t="str">
        <f>IF('Reel Register'!B32="","",'Reel Register'!G32)</f>
        <v/>
      </c>
      <c r="F32" s="23" t="str">
        <f>IF('Reel Register'!B32="","",'Reel Register'!E32)</f>
        <v/>
      </c>
      <c r="G32" s="23" t="str">
        <f>IF('Reel Register'!B32="","",'Reel Register'!F32)</f>
        <v/>
      </c>
      <c r="H32" s="23" t="str">
        <f>IF('Reel Register'!B32="","",'Reel Register'!I32)</f>
        <v/>
      </c>
      <c r="I32" s="21" t="str">
        <f>IF('Reel Register'!B32="","",'Reel Register'!L32)</f>
        <v/>
      </c>
      <c r="J32" s="23" t="str">
        <f>IF('Reel Register'!B32="","",'Reel Register'!N32)</f>
        <v/>
      </c>
      <c r="K32" s="24"/>
      <c r="L32" s="24"/>
      <c r="M32" s="24"/>
    </row>
    <row r="33" spans="1:13" x14ac:dyDescent="0.45">
      <c r="A33" s="15" t="str">
        <f>IF('Reel Register'!B33="","",ROW()-3)</f>
        <v/>
      </c>
      <c r="B33" s="23" t="str">
        <f>IF('Reel Register'!B33="","",'Reel Register'!B33)</f>
        <v/>
      </c>
      <c r="C33" s="23" t="str">
        <f>IF('Reel Register'!B33="","",'Reel Register'!C33)</f>
        <v/>
      </c>
      <c r="D33" s="23" t="str">
        <f>IF('Reel Register'!B33="","",'Reel Register'!D33)</f>
        <v/>
      </c>
      <c r="E33" s="23" t="str">
        <f>IF('Reel Register'!B33="","",'Reel Register'!G33)</f>
        <v/>
      </c>
      <c r="F33" s="23" t="str">
        <f>IF('Reel Register'!B33="","",'Reel Register'!E33)</f>
        <v/>
      </c>
      <c r="G33" s="23" t="str">
        <f>IF('Reel Register'!B33="","",'Reel Register'!F33)</f>
        <v/>
      </c>
      <c r="H33" s="23" t="str">
        <f>IF('Reel Register'!B33="","",'Reel Register'!I33)</f>
        <v/>
      </c>
      <c r="I33" s="21" t="str">
        <f>IF('Reel Register'!B33="","",'Reel Register'!L33)</f>
        <v/>
      </c>
      <c r="J33" s="23" t="str">
        <f>IF('Reel Register'!B33="","",'Reel Register'!N33)</f>
        <v/>
      </c>
      <c r="K33" s="24"/>
      <c r="L33" s="24"/>
      <c r="M33" s="24"/>
    </row>
    <row r="34" spans="1:13" x14ac:dyDescent="0.45">
      <c r="A34" s="15" t="str">
        <f>IF('Reel Register'!B34="","",ROW()-3)</f>
        <v/>
      </c>
      <c r="B34" s="23" t="str">
        <f>IF('Reel Register'!B34="","",'Reel Register'!B34)</f>
        <v/>
      </c>
      <c r="C34" s="23" t="str">
        <f>IF('Reel Register'!B34="","",'Reel Register'!C34)</f>
        <v/>
      </c>
      <c r="D34" s="23" t="str">
        <f>IF('Reel Register'!B34="","",'Reel Register'!D34)</f>
        <v/>
      </c>
      <c r="E34" s="23" t="str">
        <f>IF('Reel Register'!B34="","",'Reel Register'!G34)</f>
        <v/>
      </c>
      <c r="F34" s="23" t="str">
        <f>IF('Reel Register'!B34="","",'Reel Register'!E34)</f>
        <v/>
      </c>
      <c r="G34" s="23" t="str">
        <f>IF('Reel Register'!B34="","",'Reel Register'!F34)</f>
        <v/>
      </c>
      <c r="H34" s="23" t="str">
        <f>IF('Reel Register'!B34="","",'Reel Register'!I34)</f>
        <v/>
      </c>
      <c r="I34" s="21" t="str">
        <f>IF('Reel Register'!B34="","",'Reel Register'!L34)</f>
        <v/>
      </c>
      <c r="J34" s="23" t="str">
        <f>IF('Reel Register'!B34="","",'Reel Register'!N34)</f>
        <v/>
      </c>
      <c r="K34" s="24"/>
      <c r="L34" s="24"/>
      <c r="M34" s="24"/>
    </row>
    <row r="35" spans="1:13" x14ac:dyDescent="0.45">
      <c r="A35" s="15" t="str">
        <f>IF('Reel Register'!B35="","",ROW()-3)</f>
        <v/>
      </c>
      <c r="B35" s="23" t="str">
        <f>IF('Reel Register'!B35="","",'Reel Register'!B35)</f>
        <v/>
      </c>
      <c r="C35" s="23" t="str">
        <f>IF('Reel Register'!B35="","",'Reel Register'!C35)</f>
        <v/>
      </c>
      <c r="D35" s="23" t="str">
        <f>IF('Reel Register'!B35="","",'Reel Register'!D35)</f>
        <v/>
      </c>
      <c r="E35" s="23" t="str">
        <f>IF('Reel Register'!B35="","",'Reel Register'!G35)</f>
        <v/>
      </c>
      <c r="F35" s="23" t="str">
        <f>IF('Reel Register'!B35="","",'Reel Register'!E35)</f>
        <v/>
      </c>
      <c r="G35" s="23" t="str">
        <f>IF('Reel Register'!B35="","",'Reel Register'!F35)</f>
        <v/>
      </c>
      <c r="H35" s="23" t="str">
        <f>IF('Reel Register'!B35="","",'Reel Register'!I35)</f>
        <v/>
      </c>
      <c r="I35" s="21" t="str">
        <f>IF('Reel Register'!B35="","",'Reel Register'!L35)</f>
        <v/>
      </c>
      <c r="J35" s="23" t="str">
        <f>IF('Reel Register'!B35="","",'Reel Register'!N35)</f>
        <v/>
      </c>
      <c r="K35" s="24"/>
      <c r="L35" s="24"/>
      <c r="M35" s="24"/>
    </row>
    <row r="36" spans="1:13" x14ac:dyDescent="0.45">
      <c r="A36" s="15" t="str">
        <f>IF('Reel Register'!B36="","",ROW()-3)</f>
        <v/>
      </c>
      <c r="B36" s="23" t="str">
        <f>IF('Reel Register'!B36="","",'Reel Register'!B36)</f>
        <v/>
      </c>
      <c r="C36" s="23" t="str">
        <f>IF('Reel Register'!B36="","",'Reel Register'!C36)</f>
        <v/>
      </c>
      <c r="D36" s="23" t="str">
        <f>IF('Reel Register'!B36="","",'Reel Register'!D36)</f>
        <v/>
      </c>
      <c r="E36" s="23" t="str">
        <f>IF('Reel Register'!B36="","",'Reel Register'!G36)</f>
        <v/>
      </c>
      <c r="F36" s="23" t="str">
        <f>IF('Reel Register'!B36="","",'Reel Register'!E36)</f>
        <v/>
      </c>
      <c r="G36" s="23" t="str">
        <f>IF('Reel Register'!B36="","",'Reel Register'!F36)</f>
        <v/>
      </c>
      <c r="H36" s="23" t="str">
        <f>IF('Reel Register'!B36="","",'Reel Register'!I36)</f>
        <v/>
      </c>
      <c r="I36" s="21" t="str">
        <f>IF('Reel Register'!B36="","",'Reel Register'!L36)</f>
        <v/>
      </c>
      <c r="J36" s="23" t="str">
        <f>IF('Reel Register'!B36="","",'Reel Register'!N36)</f>
        <v/>
      </c>
      <c r="K36" s="24"/>
      <c r="L36" s="24"/>
      <c r="M36" s="24"/>
    </row>
    <row r="37" spans="1:13" x14ac:dyDescent="0.45">
      <c r="A37" s="15" t="str">
        <f>IF('Reel Register'!B37="","",ROW()-3)</f>
        <v/>
      </c>
      <c r="B37" s="23" t="str">
        <f>IF('Reel Register'!B37="","",'Reel Register'!B37)</f>
        <v/>
      </c>
      <c r="C37" s="23" t="str">
        <f>IF('Reel Register'!B37="","",'Reel Register'!C37)</f>
        <v/>
      </c>
      <c r="D37" s="23" t="str">
        <f>IF('Reel Register'!B37="","",'Reel Register'!D37)</f>
        <v/>
      </c>
      <c r="E37" s="23" t="str">
        <f>IF('Reel Register'!B37="","",'Reel Register'!G37)</f>
        <v/>
      </c>
      <c r="F37" s="23" t="str">
        <f>IF('Reel Register'!B37="","",'Reel Register'!E37)</f>
        <v/>
      </c>
      <c r="G37" s="23" t="str">
        <f>IF('Reel Register'!B37="","",'Reel Register'!F37)</f>
        <v/>
      </c>
      <c r="H37" s="23" t="str">
        <f>IF('Reel Register'!B37="","",'Reel Register'!I37)</f>
        <v/>
      </c>
      <c r="I37" s="21" t="str">
        <f>IF('Reel Register'!B37="","",'Reel Register'!L37)</f>
        <v/>
      </c>
      <c r="J37" s="23" t="str">
        <f>IF('Reel Register'!B37="","",'Reel Register'!N37)</f>
        <v/>
      </c>
      <c r="K37" s="24"/>
      <c r="L37" s="24"/>
      <c r="M37" s="24"/>
    </row>
    <row r="38" spans="1:13" x14ac:dyDescent="0.45">
      <c r="A38" s="15" t="str">
        <f>IF('Reel Register'!B38="","",ROW()-3)</f>
        <v/>
      </c>
      <c r="B38" s="23" t="str">
        <f>IF('Reel Register'!B38="","",'Reel Register'!B38)</f>
        <v/>
      </c>
      <c r="C38" s="23" t="str">
        <f>IF('Reel Register'!B38="","",'Reel Register'!C38)</f>
        <v/>
      </c>
      <c r="D38" s="23" t="str">
        <f>IF('Reel Register'!B38="","",'Reel Register'!D38)</f>
        <v/>
      </c>
      <c r="E38" s="23" t="str">
        <f>IF('Reel Register'!B38="","",'Reel Register'!G38)</f>
        <v/>
      </c>
      <c r="F38" s="23" t="str">
        <f>IF('Reel Register'!B38="","",'Reel Register'!E38)</f>
        <v/>
      </c>
      <c r="G38" s="23" t="str">
        <f>IF('Reel Register'!B38="","",'Reel Register'!F38)</f>
        <v/>
      </c>
      <c r="H38" s="23" t="str">
        <f>IF('Reel Register'!B38="","",'Reel Register'!I38)</f>
        <v/>
      </c>
      <c r="I38" s="21" t="str">
        <f>IF('Reel Register'!B38="","",'Reel Register'!L38)</f>
        <v/>
      </c>
      <c r="J38" s="23" t="str">
        <f>IF('Reel Register'!B38="","",'Reel Register'!N38)</f>
        <v/>
      </c>
      <c r="K38" s="24"/>
      <c r="L38" s="24"/>
      <c r="M38" s="24"/>
    </row>
    <row r="39" spans="1:13" x14ac:dyDescent="0.45">
      <c r="A39" s="15" t="str">
        <f>IF('Reel Register'!B39="","",ROW()-3)</f>
        <v/>
      </c>
      <c r="B39" s="23" t="str">
        <f>IF('Reel Register'!B39="","",'Reel Register'!B39)</f>
        <v/>
      </c>
      <c r="C39" s="23" t="str">
        <f>IF('Reel Register'!B39="","",'Reel Register'!C39)</f>
        <v/>
      </c>
      <c r="D39" s="23" t="str">
        <f>IF('Reel Register'!B39="","",'Reel Register'!D39)</f>
        <v/>
      </c>
      <c r="E39" s="23" t="str">
        <f>IF('Reel Register'!B39="","",'Reel Register'!G39)</f>
        <v/>
      </c>
      <c r="F39" s="23" t="str">
        <f>IF('Reel Register'!B39="","",'Reel Register'!E39)</f>
        <v/>
      </c>
      <c r="G39" s="23" t="str">
        <f>IF('Reel Register'!B39="","",'Reel Register'!F39)</f>
        <v/>
      </c>
      <c r="H39" s="23" t="str">
        <f>IF('Reel Register'!B39="","",'Reel Register'!I39)</f>
        <v/>
      </c>
      <c r="I39" s="21" t="str">
        <f>IF('Reel Register'!B39="","",'Reel Register'!L39)</f>
        <v/>
      </c>
      <c r="J39" s="23" t="str">
        <f>IF('Reel Register'!B39="","",'Reel Register'!N39)</f>
        <v/>
      </c>
      <c r="K39" s="24"/>
      <c r="L39" s="24"/>
      <c r="M39" s="24"/>
    </row>
    <row r="40" spans="1:13" x14ac:dyDescent="0.45">
      <c r="A40" s="15" t="str">
        <f>IF('Reel Register'!B40="","",ROW()-3)</f>
        <v/>
      </c>
      <c r="B40" s="23" t="str">
        <f>IF('Reel Register'!B40="","",'Reel Register'!B40)</f>
        <v/>
      </c>
      <c r="C40" s="23" t="str">
        <f>IF('Reel Register'!B40="","",'Reel Register'!C40)</f>
        <v/>
      </c>
      <c r="D40" s="23" t="str">
        <f>IF('Reel Register'!B40="","",'Reel Register'!D40)</f>
        <v/>
      </c>
      <c r="E40" s="23" t="str">
        <f>IF('Reel Register'!B40="","",'Reel Register'!G40)</f>
        <v/>
      </c>
      <c r="F40" s="23" t="str">
        <f>IF('Reel Register'!B40="","",'Reel Register'!E40)</f>
        <v/>
      </c>
      <c r="G40" s="23" t="str">
        <f>IF('Reel Register'!B40="","",'Reel Register'!F40)</f>
        <v/>
      </c>
      <c r="H40" s="23" t="str">
        <f>IF('Reel Register'!B40="","",'Reel Register'!I40)</f>
        <v/>
      </c>
      <c r="I40" s="21" t="str">
        <f>IF('Reel Register'!B40="","",'Reel Register'!L40)</f>
        <v/>
      </c>
      <c r="J40" s="23" t="str">
        <f>IF('Reel Register'!B40="","",'Reel Register'!N40)</f>
        <v/>
      </c>
      <c r="K40" s="24"/>
      <c r="L40" s="24"/>
      <c r="M40" s="24"/>
    </row>
    <row r="41" spans="1:13" x14ac:dyDescent="0.45">
      <c r="A41" s="15" t="str">
        <f>IF('Reel Register'!B41="","",ROW()-3)</f>
        <v/>
      </c>
      <c r="B41" s="23" t="str">
        <f>IF('Reel Register'!B41="","",'Reel Register'!B41)</f>
        <v/>
      </c>
      <c r="C41" s="23" t="str">
        <f>IF('Reel Register'!B41="","",'Reel Register'!C41)</f>
        <v/>
      </c>
      <c r="D41" s="23" t="str">
        <f>IF('Reel Register'!B41="","",'Reel Register'!D41)</f>
        <v/>
      </c>
      <c r="E41" s="23" t="str">
        <f>IF('Reel Register'!B41="","",'Reel Register'!G41)</f>
        <v/>
      </c>
      <c r="F41" s="23" t="str">
        <f>IF('Reel Register'!B41="","",'Reel Register'!E41)</f>
        <v/>
      </c>
      <c r="G41" s="23" t="str">
        <f>IF('Reel Register'!B41="","",'Reel Register'!F41)</f>
        <v/>
      </c>
      <c r="H41" s="23" t="str">
        <f>IF('Reel Register'!B41="","",'Reel Register'!I41)</f>
        <v/>
      </c>
      <c r="I41" s="21" t="str">
        <f>IF('Reel Register'!B41="","",'Reel Register'!L41)</f>
        <v/>
      </c>
      <c r="J41" s="23" t="str">
        <f>IF('Reel Register'!B41="","",'Reel Register'!N41)</f>
        <v/>
      </c>
      <c r="K41" s="24"/>
      <c r="L41" s="24"/>
      <c r="M41" s="24"/>
    </row>
    <row r="42" spans="1:13" x14ac:dyDescent="0.45">
      <c r="A42" s="15" t="str">
        <f>IF('Reel Register'!B42="","",ROW()-3)</f>
        <v/>
      </c>
      <c r="B42" s="23" t="str">
        <f>IF('Reel Register'!B42="","",'Reel Register'!B42)</f>
        <v/>
      </c>
      <c r="C42" s="23" t="str">
        <f>IF('Reel Register'!B42="","",'Reel Register'!C42)</f>
        <v/>
      </c>
      <c r="D42" s="23" t="str">
        <f>IF('Reel Register'!B42="","",'Reel Register'!D42)</f>
        <v/>
      </c>
      <c r="E42" s="23" t="str">
        <f>IF('Reel Register'!B42="","",'Reel Register'!G42)</f>
        <v/>
      </c>
      <c r="F42" s="23" t="str">
        <f>IF('Reel Register'!B42="","",'Reel Register'!E42)</f>
        <v/>
      </c>
      <c r="G42" s="23" t="str">
        <f>IF('Reel Register'!B42="","",'Reel Register'!F42)</f>
        <v/>
      </c>
      <c r="H42" s="23" t="str">
        <f>IF('Reel Register'!B42="","",'Reel Register'!I42)</f>
        <v/>
      </c>
      <c r="I42" s="21" t="str">
        <f>IF('Reel Register'!B42="","",'Reel Register'!L42)</f>
        <v/>
      </c>
      <c r="J42" s="23" t="str">
        <f>IF('Reel Register'!B42="","",'Reel Register'!N42)</f>
        <v/>
      </c>
      <c r="K42" s="24"/>
      <c r="L42" s="24"/>
      <c r="M42" s="24"/>
    </row>
    <row r="43" spans="1:13" x14ac:dyDescent="0.45">
      <c r="A43" s="15" t="str">
        <f>IF('Reel Register'!B43="","",ROW()-3)</f>
        <v/>
      </c>
      <c r="B43" s="23" t="str">
        <f>IF('Reel Register'!B43="","",'Reel Register'!B43)</f>
        <v/>
      </c>
      <c r="C43" s="23" t="str">
        <f>IF('Reel Register'!B43="","",'Reel Register'!C43)</f>
        <v/>
      </c>
      <c r="D43" s="23" t="str">
        <f>IF('Reel Register'!B43="","",'Reel Register'!D43)</f>
        <v/>
      </c>
      <c r="E43" s="23" t="str">
        <f>IF('Reel Register'!B43="","",'Reel Register'!G43)</f>
        <v/>
      </c>
      <c r="F43" s="23" t="str">
        <f>IF('Reel Register'!B43="","",'Reel Register'!E43)</f>
        <v/>
      </c>
      <c r="G43" s="23" t="str">
        <f>IF('Reel Register'!B43="","",'Reel Register'!F43)</f>
        <v/>
      </c>
      <c r="H43" s="23" t="str">
        <f>IF('Reel Register'!B43="","",'Reel Register'!I43)</f>
        <v/>
      </c>
      <c r="I43" s="21" t="str">
        <f>IF('Reel Register'!B43="","",'Reel Register'!L43)</f>
        <v/>
      </c>
      <c r="J43" s="23" t="str">
        <f>IF('Reel Register'!B43="","",'Reel Register'!N43)</f>
        <v/>
      </c>
      <c r="K43" s="24"/>
      <c r="L43" s="24"/>
      <c r="M43" s="24"/>
    </row>
    <row r="44" spans="1:13" x14ac:dyDescent="0.45">
      <c r="A44" s="15" t="str">
        <f>IF('Reel Register'!B44="","",ROW()-3)</f>
        <v/>
      </c>
      <c r="B44" s="23" t="str">
        <f>IF('Reel Register'!B44="","",'Reel Register'!B44)</f>
        <v/>
      </c>
      <c r="C44" s="23" t="str">
        <f>IF('Reel Register'!B44="","",'Reel Register'!C44)</f>
        <v/>
      </c>
      <c r="D44" s="23" t="str">
        <f>IF('Reel Register'!B44="","",'Reel Register'!D44)</f>
        <v/>
      </c>
      <c r="E44" s="23" t="str">
        <f>IF('Reel Register'!B44="","",'Reel Register'!G44)</f>
        <v/>
      </c>
      <c r="F44" s="23" t="str">
        <f>IF('Reel Register'!B44="","",'Reel Register'!E44)</f>
        <v/>
      </c>
      <c r="G44" s="23" t="str">
        <f>IF('Reel Register'!B44="","",'Reel Register'!F44)</f>
        <v/>
      </c>
      <c r="H44" s="23" t="str">
        <f>IF('Reel Register'!B44="","",'Reel Register'!I44)</f>
        <v/>
      </c>
      <c r="I44" s="21" t="str">
        <f>IF('Reel Register'!B44="","",'Reel Register'!L44)</f>
        <v/>
      </c>
      <c r="J44" s="23" t="str">
        <f>IF('Reel Register'!B44="","",'Reel Register'!N44)</f>
        <v/>
      </c>
      <c r="K44" s="24"/>
      <c r="L44" s="24"/>
      <c r="M44" s="24"/>
    </row>
    <row r="45" spans="1:13" x14ac:dyDescent="0.45">
      <c r="A45" s="15" t="str">
        <f>IF('Reel Register'!B45="","",ROW()-3)</f>
        <v/>
      </c>
      <c r="B45" s="23" t="str">
        <f>IF('Reel Register'!B45="","",'Reel Register'!B45)</f>
        <v/>
      </c>
      <c r="C45" s="23" t="str">
        <f>IF('Reel Register'!B45="","",'Reel Register'!C45)</f>
        <v/>
      </c>
      <c r="D45" s="23" t="str">
        <f>IF('Reel Register'!B45="","",'Reel Register'!D45)</f>
        <v/>
      </c>
      <c r="E45" s="23" t="str">
        <f>IF('Reel Register'!B45="","",'Reel Register'!G45)</f>
        <v/>
      </c>
      <c r="F45" s="23" t="str">
        <f>IF('Reel Register'!B45="","",'Reel Register'!E45)</f>
        <v/>
      </c>
      <c r="G45" s="23" t="str">
        <f>IF('Reel Register'!B45="","",'Reel Register'!F45)</f>
        <v/>
      </c>
      <c r="H45" s="23" t="str">
        <f>IF('Reel Register'!B45="","",'Reel Register'!I45)</f>
        <v/>
      </c>
      <c r="I45" s="21" t="str">
        <f>IF('Reel Register'!B45="","",'Reel Register'!L45)</f>
        <v/>
      </c>
      <c r="J45" s="23" t="str">
        <f>IF('Reel Register'!B45="","",'Reel Register'!N45)</f>
        <v/>
      </c>
      <c r="K45" s="24"/>
      <c r="L45" s="24"/>
      <c r="M45" s="24"/>
    </row>
    <row r="46" spans="1:13" x14ac:dyDescent="0.45">
      <c r="A46" s="15" t="str">
        <f>IF('Reel Register'!B46="","",ROW()-3)</f>
        <v/>
      </c>
      <c r="B46" s="23" t="str">
        <f>IF('Reel Register'!B46="","",'Reel Register'!B46)</f>
        <v/>
      </c>
      <c r="C46" s="23" t="str">
        <f>IF('Reel Register'!B46="","",'Reel Register'!C46)</f>
        <v/>
      </c>
      <c r="D46" s="23" t="str">
        <f>IF('Reel Register'!B46="","",'Reel Register'!D46)</f>
        <v/>
      </c>
      <c r="E46" s="23" t="str">
        <f>IF('Reel Register'!B46="","",'Reel Register'!G46)</f>
        <v/>
      </c>
      <c r="F46" s="23" t="str">
        <f>IF('Reel Register'!B46="","",'Reel Register'!E46)</f>
        <v/>
      </c>
      <c r="G46" s="23" t="str">
        <f>IF('Reel Register'!B46="","",'Reel Register'!F46)</f>
        <v/>
      </c>
      <c r="H46" s="23" t="str">
        <f>IF('Reel Register'!B46="","",'Reel Register'!I46)</f>
        <v/>
      </c>
      <c r="I46" s="21" t="str">
        <f>IF('Reel Register'!B46="","",'Reel Register'!L46)</f>
        <v/>
      </c>
      <c r="J46" s="23" t="str">
        <f>IF('Reel Register'!B46="","",'Reel Register'!N46)</f>
        <v/>
      </c>
      <c r="K46" s="24"/>
      <c r="L46" s="24"/>
      <c r="M46" s="24"/>
    </row>
    <row r="47" spans="1:13" x14ac:dyDescent="0.45">
      <c r="A47" s="15" t="str">
        <f>IF('Reel Register'!B47="","",ROW()-3)</f>
        <v/>
      </c>
      <c r="B47" s="23" t="str">
        <f>IF('Reel Register'!B47="","",'Reel Register'!B47)</f>
        <v/>
      </c>
      <c r="C47" s="23" t="str">
        <f>IF('Reel Register'!B47="","",'Reel Register'!C47)</f>
        <v/>
      </c>
      <c r="D47" s="23" t="str">
        <f>IF('Reel Register'!B47="","",'Reel Register'!D47)</f>
        <v/>
      </c>
      <c r="E47" s="23" t="str">
        <f>IF('Reel Register'!B47="","",'Reel Register'!G47)</f>
        <v/>
      </c>
      <c r="F47" s="23" t="str">
        <f>IF('Reel Register'!B47="","",'Reel Register'!E47)</f>
        <v/>
      </c>
      <c r="G47" s="23" t="str">
        <f>IF('Reel Register'!B47="","",'Reel Register'!F47)</f>
        <v/>
      </c>
      <c r="H47" s="23" t="str">
        <f>IF('Reel Register'!B47="","",'Reel Register'!I47)</f>
        <v/>
      </c>
      <c r="I47" s="21" t="str">
        <f>IF('Reel Register'!B47="","",'Reel Register'!L47)</f>
        <v/>
      </c>
      <c r="J47" s="23" t="str">
        <f>IF('Reel Register'!B47="","",'Reel Register'!N47)</f>
        <v/>
      </c>
      <c r="K47" s="24"/>
      <c r="L47" s="24"/>
      <c r="M47" s="24"/>
    </row>
    <row r="48" spans="1:13" x14ac:dyDescent="0.45">
      <c r="A48" s="15" t="str">
        <f>IF('Reel Register'!B48="","",ROW()-3)</f>
        <v/>
      </c>
      <c r="B48" s="23" t="str">
        <f>IF('Reel Register'!B48="","",'Reel Register'!B48)</f>
        <v/>
      </c>
      <c r="C48" s="23" t="str">
        <f>IF('Reel Register'!B48="","",'Reel Register'!C48)</f>
        <v/>
      </c>
      <c r="D48" s="23" t="str">
        <f>IF('Reel Register'!B48="","",'Reel Register'!D48)</f>
        <v/>
      </c>
      <c r="E48" s="23" t="str">
        <f>IF('Reel Register'!B48="","",'Reel Register'!G48)</f>
        <v/>
      </c>
      <c r="F48" s="23" t="str">
        <f>IF('Reel Register'!B48="","",'Reel Register'!E48)</f>
        <v/>
      </c>
      <c r="G48" s="23" t="str">
        <f>IF('Reel Register'!B48="","",'Reel Register'!F48)</f>
        <v/>
      </c>
      <c r="H48" s="23" t="str">
        <f>IF('Reel Register'!B48="","",'Reel Register'!I48)</f>
        <v/>
      </c>
      <c r="I48" s="21" t="str">
        <f>IF('Reel Register'!B48="","",'Reel Register'!L48)</f>
        <v/>
      </c>
      <c r="J48" s="23" t="str">
        <f>IF('Reel Register'!B48="","",'Reel Register'!N48)</f>
        <v/>
      </c>
      <c r="K48" s="24"/>
      <c r="L48" s="24"/>
      <c r="M48" s="24"/>
    </row>
    <row r="49" spans="1:13" x14ac:dyDescent="0.45">
      <c r="A49" s="15" t="str">
        <f>IF('Reel Register'!B49="","",ROW()-3)</f>
        <v/>
      </c>
      <c r="B49" s="23" t="str">
        <f>IF('Reel Register'!B49="","",'Reel Register'!B49)</f>
        <v/>
      </c>
      <c r="C49" s="23" t="str">
        <f>IF('Reel Register'!B49="","",'Reel Register'!C49)</f>
        <v/>
      </c>
      <c r="D49" s="23" t="str">
        <f>IF('Reel Register'!B49="","",'Reel Register'!D49)</f>
        <v/>
      </c>
      <c r="E49" s="23" t="str">
        <f>IF('Reel Register'!B49="","",'Reel Register'!G49)</f>
        <v/>
      </c>
      <c r="F49" s="23" t="str">
        <f>IF('Reel Register'!B49="","",'Reel Register'!E49)</f>
        <v/>
      </c>
      <c r="G49" s="23" t="str">
        <f>IF('Reel Register'!B49="","",'Reel Register'!F49)</f>
        <v/>
      </c>
      <c r="H49" s="23" t="str">
        <f>IF('Reel Register'!B49="","",'Reel Register'!I49)</f>
        <v/>
      </c>
      <c r="I49" s="21" t="str">
        <f>IF('Reel Register'!B49="","",'Reel Register'!L49)</f>
        <v/>
      </c>
      <c r="J49" s="23" t="str">
        <f>IF('Reel Register'!B49="","",'Reel Register'!N49)</f>
        <v/>
      </c>
      <c r="K49" s="24"/>
      <c r="L49" s="24"/>
      <c r="M49" s="24"/>
    </row>
    <row r="50" spans="1:13" x14ac:dyDescent="0.45">
      <c r="A50" s="15" t="str">
        <f>IF('Reel Register'!B50="","",ROW()-3)</f>
        <v/>
      </c>
      <c r="B50" s="23" t="str">
        <f>IF('Reel Register'!B50="","",'Reel Register'!B50)</f>
        <v/>
      </c>
      <c r="C50" s="23" t="str">
        <f>IF('Reel Register'!B50="","",'Reel Register'!C50)</f>
        <v/>
      </c>
      <c r="D50" s="23" t="str">
        <f>IF('Reel Register'!B50="","",'Reel Register'!D50)</f>
        <v/>
      </c>
      <c r="E50" s="23" t="str">
        <f>IF('Reel Register'!B50="","",'Reel Register'!G50)</f>
        <v/>
      </c>
      <c r="F50" s="23" t="str">
        <f>IF('Reel Register'!B50="","",'Reel Register'!E50)</f>
        <v/>
      </c>
      <c r="G50" s="23" t="str">
        <f>IF('Reel Register'!B50="","",'Reel Register'!F50)</f>
        <v/>
      </c>
      <c r="H50" s="23" t="str">
        <f>IF('Reel Register'!B50="","",'Reel Register'!I50)</f>
        <v/>
      </c>
      <c r="I50" s="21" t="str">
        <f>IF('Reel Register'!B50="","",'Reel Register'!L50)</f>
        <v/>
      </c>
      <c r="J50" s="23" t="str">
        <f>IF('Reel Register'!B50="","",'Reel Register'!N50)</f>
        <v/>
      </c>
      <c r="K50" s="24"/>
      <c r="L50" s="24"/>
      <c r="M50" s="24"/>
    </row>
    <row r="51" spans="1:13" x14ac:dyDescent="0.45">
      <c r="A51" s="15" t="str">
        <f>IF('Reel Register'!B51="","",ROW()-3)</f>
        <v/>
      </c>
      <c r="B51" s="23" t="str">
        <f>IF('Reel Register'!B51="","",'Reel Register'!B51)</f>
        <v/>
      </c>
      <c r="C51" s="23" t="str">
        <f>IF('Reel Register'!B51="","",'Reel Register'!C51)</f>
        <v/>
      </c>
      <c r="D51" s="23" t="str">
        <f>IF('Reel Register'!B51="","",'Reel Register'!D51)</f>
        <v/>
      </c>
      <c r="E51" s="23" t="str">
        <f>IF('Reel Register'!B51="","",'Reel Register'!G51)</f>
        <v/>
      </c>
      <c r="F51" s="23" t="str">
        <f>IF('Reel Register'!B51="","",'Reel Register'!E51)</f>
        <v/>
      </c>
      <c r="G51" s="23" t="str">
        <f>IF('Reel Register'!B51="","",'Reel Register'!F51)</f>
        <v/>
      </c>
      <c r="H51" s="23" t="str">
        <f>IF('Reel Register'!B51="","",'Reel Register'!I51)</f>
        <v/>
      </c>
      <c r="I51" s="21" t="str">
        <f>IF('Reel Register'!B51="","",'Reel Register'!L51)</f>
        <v/>
      </c>
      <c r="J51" s="23" t="str">
        <f>IF('Reel Register'!B51="","",'Reel Register'!N51)</f>
        <v/>
      </c>
      <c r="K51" s="24"/>
      <c r="L51" s="24"/>
      <c r="M51" s="24"/>
    </row>
    <row r="52" spans="1:13" x14ac:dyDescent="0.45">
      <c r="A52" s="15" t="str">
        <f>IF('Reel Register'!B52="","",ROW()-3)</f>
        <v/>
      </c>
      <c r="B52" s="23" t="str">
        <f>IF('Reel Register'!B52="","",'Reel Register'!B52)</f>
        <v/>
      </c>
      <c r="C52" s="23" t="str">
        <f>IF('Reel Register'!B52="","",'Reel Register'!C52)</f>
        <v/>
      </c>
      <c r="D52" s="23" t="str">
        <f>IF('Reel Register'!B52="","",'Reel Register'!D52)</f>
        <v/>
      </c>
      <c r="E52" s="23" t="str">
        <f>IF('Reel Register'!B52="","",'Reel Register'!G52)</f>
        <v/>
      </c>
      <c r="F52" s="23" t="str">
        <f>IF('Reel Register'!B52="","",'Reel Register'!E52)</f>
        <v/>
      </c>
      <c r="G52" s="23" t="str">
        <f>IF('Reel Register'!B52="","",'Reel Register'!F52)</f>
        <v/>
      </c>
      <c r="H52" s="23" t="str">
        <f>IF('Reel Register'!B52="","",'Reel Register'!I52)</f>
        <v/>
      </c>
      <c r="I52" s="21" t="str">
        <f>IF('Reel Register'!B52="","",'Reel Register'!L52)</f>
        <v/>
      </c>
      <c r="J52" s="23" t="str">
        <f>IF('Reel Register'!B52="","",'Reel Register'!N52)</f>
        <v/>
      </c>
      <c r="K52" s="24"/>
      <c r="L52" s="24"/>
      <c r="M52" s="24"/>
    </row>
    <row r="53" spans="1:13" x14ac:dyDescent="0.45">
      <c r="A53" s="15" t="str">
        <f>IF('Reel Register'!B53="","",ROW()-3)</f>
        <v/>
      </c>
      <c r="B53" s="23" t="str">
        <f>IF('Reel Register'!B53="","",'Reel Register'!B53)</f>
        <v/>
      </c>
      <c r="C53" s="23" t="str">
        <f>IF('Reel Register'!B53="","",'Reel Register'!C53)</f>
        <v/>
      </c>
      <c r="D53" s="23" t="str">
        <f>IF('Reel Register'!B53="","",'Reel Register'!D53)</f>
        <v/>
      </c>
      <c r="E53" s="23" t="str">
        <f>IF('Reel Register'!B53="","",'Reel Register'!G53)</f>
        <v/>
      </c>
      <c r="F53" s="23" t="str">
        <f>IF('Reel Register'!B53="","",'Reel Register'!E53)</f>
        <v/>
      </c>
      <c r="G53" s="23" t="str">
        <f>IF('Reel Register'!B53="","",'Reel Register'!F53)</f>
        <v/>
      </c>
      <c r="H53" s="23" t="str">
        <f>IF('Reel Register'!B53="","",'Reel Register'!I53)</f>
        <v/>
      </c>
      <c r="I53" s="21" t="str">
        <f>IF('Reel Register'!B53="","",'Reel Register'!L53)</f>
        <v/>
      </c>
      <c r="J53" s="23" t="str">
        <f>IF('Reel Register'!B53="","",'Reel Register'!N53)</f>
        <v/>
      </c>
      <c r="K53" s="24"/>
      <c r="L53" s="24"/>
      <c r="M53" s="24"/>
    </row>
    <row r="54" spans="1:13" x14ac:dyDescent="0.45">
      <c r="A54" s="15" t="str">
        <f>IF('Reel Register'!B54="","",ROW()-3)</f>
        <v/>
      </c>
      <c r="B54" s="23" t="str">
        <f>IF('Reel Register'!B54="","",'Reel Register'!B54)</f>
        <v/>
      </c>
      <c r="C54" s="23" t="str">
        <f>IF('Reel Register'!B54="","",'Reel Register'!C54)</f>
        <v/>
      </c>
      <c r="D54" s="23" t="str">
        <f>IF('Reel Register'!B54="","",'Reel Register'!D54)</f>
        <v/>
      </c>
      <c r="E54" s="23" t="str">
        <f>IF('Reel Register'!B54="","",'Reel Register'!G54)</f>
        <v/>
      </c>
      <c r="F54" s="23" t="str">
        <f>IF('Reel Register'!B54="","",'Reel Register'!E54)</f>
        <v/>
      </c>
      <c r="G54" s="23" t="str">
        <f>IF('Reel Register'!B54="","",'Reel Register'!F54)</f>
        <v/>
      </c>
      <c r="H54" s="23" t="str">
        <f>IF('Reel Register'!B54="","",'Reel Register'!I54)</f>
        <v/>
      </c>
      <c r="I54" s="21" t="str">
        <f>IF('Reel Register'!B54="","",'Reel Register'!L54)</f>
        <v/>
      </c>
      <c r="J54" s="23" t="str">
        <f>IF('Reel Register'!B54="","",'Reel Register'!N54)</f>
        <v/>
      </c>
      <c r="K54" s="24"/>
      <c r="L54" s="24"/>
      <c r="M54" s="24"/>
    </row>
    <row r="55" spans="1:13" x14ac:dyDescent="0.45">
      <c r="A55" s="15" t="str">
        <f>IF('Reel Register'!B55="","",ROW()-3)</f>
        <v/>
      </c>
      <c r="B55" s="23" t="str">
        <f>IF('Reel Register'!B55="","",'Reel Register'!B55)</f>
        <v/>
      </c>
      <c r="C55" s="23" t="str">
        <f>IF('Reel Register'!B55="","",'Reel Register'!C55)</f>
        <v/>
      </c>
      <c r="D55" s="23" t="str">
        <f>IF('Reel Register'!B55="","",'Reel Register'!D55)</f>
        <v/>
      </c>
      <c r="E55" s="23" t="str">
        <f>IF('Reel Register'!B55="","",'Reel Register'!G55)</f>
        <v/>
      </c>
      <c r="F55" s="23" t="str">
        <f>IF('Reel Register'!B55="","",'Reel Register'!E55)</f>
        <v/>
      </c>
      <c r="G55" s="23" t="str">
        <f>IF('Reel Register'!B55="","",'Reel Register'!F55)</f>
        <v/>
      </c>
      <c r="H55" s="23" t="str">
        <f>IF('Reel Register'!B55="","",'Reel Register'!I55)</f>
        <v/>
      </c>
      <c r="I55" s="21" t="str">
        <f>IF('Reel Register'!B55="","",'Reel Register'!L55)</f>
        <v/>
      </c>
      <c r="J55" s="23" t="str">
        <f>IF('Reel Register'!B55="","",'Reel Register'!N55)</f>
        <v/>
      </c>
      <c r="K55" s="24"/>
      <c r="L55" s="24"/>
      <c r="M55" s="24"/>
    </row>
    <row r="56" spans="1:13" x14ac:dyDescent="0.45">
      <c r="A56" s="15" t="str">
        <f>IF('Reel Register'!B56="","",ROW()-3)</f>
        <v/>
      </c>
      <c r="B56" s="23" t="str">
        <f>IF('Reel Register'!B56="","",'Reel Register'!B56)</f>
        <v/>
      </c>
      <c r="C56" s="23" t="str">
        <f>IF('Reel Register'!B56="","",'Reel Register'!C56)</f>
        <v/>
      </c>
      <c r="D56" s="23" t="str">
        <f>IF('Reel Register'!B56="","",'Reel Register'!D56)</f>
        <v/>
      </c>
      <c r="E56" s="23" t="str">
        <f>IF('Reel Register'!B56="","",'Reel Register'!G56)</f>
        <v/>
      </c>
      <c r="F56" s="23" t="str">
        <f>IF('Reel Register'!B56="","",'Reel Register'!E56)</f>
        <v/>
      </c>
      <c r="G56" s="23" t="str">
        <f>IF('Reel Register'!B56="","",'Reel Register'!F56)</f>
        <v/>
      </c>
      <c r="H56" s="23" t="str">
        <f>IF('Reel Register'!B56="","",'Reel Register'!I56)</f>
        <v/>
      </c>
      <c r="I56" s="21" t="str">
        <f>IF('Reel Register'!B56="","",'Reel Register'!L56)</f>
        <v/>
      </c>
      <c r="J56" s="23" t="str">
        <f>IF('Reel Register'!B56="","",'Reel Register'!N56)</f>
        <v/>
      </c>
      <c r="K56" s="24"/>
      <c r="L56" s="24"/>
      <c r="M56" s="24"/>
    </row>
    <row r="57" spans="1:13" x14ac:dyDescent="0.45">
      <c r="A57" s="15" t="str">
        <f>IF('Reel Register'!B57="","",ROW()-3)</f>
        <v/>
      </c>
      <c r="B57" s="23" t="str">
        <f>IF('Reel Register'!B57="","",'Reel Register'!B57)</f>
        <v/>
      </c>
      <c r="C57" s="23" t="str">
        <f>IF('Reel Register'!B57="","",'Reel Register'!C57)</f>
        <v/>
      </c>
      <c r="D57" s="23" t="str">
        <f>IF('Reel Register'!B57="","",'Reel Register'!D57)</f>
        <v/>
      </c>
      <c r="E57" s="23" t="str">
        <f>IF('Reel Register'!B57="","",'Reel Register'!G57)</f>
        <v/>
      </c>
      <c r="F57" s="23" t="str">
        <f>IF('Reel Register'!B57="","",'Reel Register'!E57)</f>
        <v/>
      </c>
      <c r="G57" s="23" t="str">
        <f>IF('Reel Register'!B57="","",'Reel Register'!F57)</f>
        <v/>
      </c>
      <c r="H57" s="23" t="str">
        <f>IF('Reel Register'!B57="","",'Reel Register'!I57)</f>
        <v/>
      </c>
      <c r="I57" s="21" t="str">
        <f>IF('Reel Register'!B57="","",'Reel Register'!L57)</f>
        <v/>
      </c>
      <c r="J57" s="23" t="str">
        <f>IF('Reel Register'!B57="","",'Reel Register'!N57)</f>
        <v/>
      </c>
      <c r="K57" s="24"/>
      <c r="L57" s="24"/>
      <c r="M57" s="24"/>
    </row>
    <row r="58" spans="1:13" x14ac:dyDescent="0.45">
      <c r="A58" s="15" t="str">
        <f>IF('Reel Register'!B58="","",ROW()-3)</f>
        <v/>
      </c>
      <c r="B58" s="23" t="str">
        <f>IF('Reel Register'!B58="","",'Reel Register'!B58)</f>
        <v/>
      </c>
      <c r="C58" s="23" t="str">
        <f>IF('Reel Register'!B58="","",'Reel Register'!C58)</f>
        <v/>
      </c>
      <c r="D58" s="23" t="str">
        <f>IF('Reel Register'!B58="","",'Reel Register'!D58)</f>
        <v/>
      </c>
      <c r="E58" s="23" t="str">
        <f>IF('Reel Register'!B58="","",'Reel Register'!G58)</f>
        <v/>
      </c>
      <c r="F58" s="23" t="str">
        <f>IF('Reel Register'!B58="","",'Reel Register'!E58)</f>
        <v/>
      </c>
      <c r="G58" s="23" t="str">
        <f>IF('Reel Register'!B58="","",'Reel Register'!F58)</f>
        <v/>
      </c>
      <c r="H58" s="23" t="str">
        <f>IF('Reel Register'!B58="","",'Reel Register'!I58)</f>
        <v/>
      </c>
      <c r="I58" s="21" t="str">
        <f>IF('Reel Register'!B58="","",'Reel Register'!L58)</f>
        <v/>
      </c>
      <c r="J58" s="23" t="str">
        <f>IF('Reel Register'!B58="","",'Reel Register'!N58)</f>
        <v/>
      </c>
      <c r="K58" s="24"/>
      <c r="L58" s="24"/>
      <c r="M58" s="24"/>
    </row>
    <row r="59" spans="1:13" x14ac:dyDescent="0.45">
      <c r="A59" s="15" t="str">
        <f>IF('Reel Register'!B59="","",ROW()-3)</f>
        <v/>
      </c>
      <c r="B59" s="23" t="str">
        <f>IF('Reel Register'!B59="","",'Reel Register'!B59)</f>
        <v/>
      </c>
      <c r="C59" s="23" t="str">
        <f>IF('Reel Register'!B59="","",'Reel Register'!C59)</f>
        <v/>
      </c>
      <c r="D59" s="23" t="str">
        <f>IF('Reel Register'!B59="","",'Reel Register'!D59)</f>
        <v/>
      </c>
      <c r="E59" s="23" t="str">
        <f>IF('Reel Register'!B59="","",'Reel Register'!G59)</f>
        <v/>
      </c>
      <c r="F59" s="23" t="str">
        <f>IF('Reel Register'!B59="","",'Reel Register'!E59)</f>
        <v/>
      </c>
      <c r="G59" s="23" t="str">
        <f>IF('Reel Register'!B59="","",'Reel Register'!F59)</f>
        <v/>
      </c>
      <c r="H59" s="23" t="str">
        <f>IF('Reel Register'!B59="","",'Reel Register'!I59)</f>
        <v/>
      </c>
      <c r="I59" s="21" t="str">
        <f>IF('Reel Register'!B59="","",'Reel Register'!L59)</f>
        <v/>
      </c>
      <c r="J59" s="23" t="str">
        <f>IF('Reel Register'!B59="","",'Reel Register'!N59)</f>
        <v/>
      </c>
      <c r="K59" s="24"/>
      <c r="L59" s="24"/>
      <c r="M59" s="24"/>
    </row>
    <row r="60" spans="1:13" x14ac:dyDescent="0.45">
      <c r="A60" s="15" t="str">
        <f>IF('Reel Register'!B60="","",ROW()-3)</f>
        <v/>
      </c>
      <c r="B60" s="23" t="str">
        <f>IF('Reel Register'!B60="","",'Reel Register'!B60)</f>
        <v/>
      </c>
      <c r="C60" s="23" t="str">
        <f>IF('Reel Register'!B60="","",'Reel Register'!C60)</f>
        <v/>
      </c>
      <c r="D60" s="23" t="str">
        <f>IF('Reel Register'!B60="","",'Reel Register'!D60)</f>
        <v/>
      </c>
      <c r="E60" s="23" t="str">
        <f>IF('Reel Register'!B60="","",'Reel Register'!G60)</f>
        <v/>
      </c>
      <c r="F60" s="23" t="str">
        <f>IF('Reel Register'!B60="","",'Reel Register'!E60)</f>
        <v/>
      </c>
      <c r="G60" s="23" t="str">
        <f>IF('Reel Register'!B60="","",'Reel Register'!F60)</f>
        <v/>
      </c>
      <c r="H60" s="23" t="str">
        <f>IF('Reel Register'!B60="","",'Reel Register'!I60)</f>
        <v/>
      </c>
      <c r="I60" s="21" t="str">
        <f>IF('Reel Register'!B60="","",'Reel Register'!L60)</f>
        <v/>
      </c>
      <c r="J60" s="23" t="str">
        <f>IF('Reel Register'!B60="","",'Reel Register'!N60)</f>
        <v/>
      </c>
      <c r="K60" s="24"/>
      <c r="L60" s="24"/>
      <c r="M60" s="24"/>
    </row>
    <row r="61" spans="1:13" x14ac:dyDescent="0.45">
      <c r="A61" s="15" t="str">
        <f>IF('Reel Register'!B61="","",ROW()-3)</f>
        <v/>
      </c>
      <c r="B61" s="23" t="str">
        <f>IF('Reel Register'!B61="","",'Reel Register'!B61)</f>
        <v/>
      </c>
      <c r="C61" s="23" t="str">
        <f>IF('Reel Register'!B61="","",'Reel Register'!C61)</f>
        <v/>
      </c>
      <c r="D61" s="23" t="str">
        <f>IF('Reel Register'!B61="","",'Reel Register'!D61)</f>
        <v/>
      </c>
      <c r="E61" s="23" t="str">
        <f>IF('Reel Register'!B61="","",'Reel Register'!G61)</f>
        <v/>
      </c>
      <c r="F61" s="23" t="str">
        <f>IF('Reel Register'!B61="","",'Reel Register'!E61)</f>
        <v/>
      </c>
      <c r="G61" s="23" t="str">
        <f>IF('Reel Register'!B61="","",'Reel Register'!F61)</f>
        <v/>
      </c>
      <c r="H61" s="23" t="str">
        <f>IF('Reel Register'!B61="","",'Reel Register'!I61)</f>
        <v/>
      </c>
      <c r="I61" s="21" t="str">
        <f>IF('Reel Register'!B61="","",'Reel Register'!L61)</f>
        <v/>
      </c>
      <c r="J61" s="23" t="str">
        <f>IF('Reel Register'!B61="","",'Reel Register'!N61)</f>
        <v/>
      </c>
      <c r="K61" s="24"/>
      <c r="L61" s="24"/>
      <c r="M61" s="24"/>
    </row>
    <row r="62" spans="1:13" x14ac:dyDescent="0.45">
      <c r="A62" s="15" t="str">
        <f>IF('Reel Register'!B62="","",ROW()-3)</f>
        <v/>
      </c>
      <c r="B62" s="23" t="str">
        <f>IF('Reel Register'!B62="","",'Reel Register'!B62)</f>
        <v/>
      </c>
      <c r="C62" s="23" t="str">
        <f>IF('Reel Register'!B62="","",'Reel Register'!C62)</f>
        <v/>
      </c>
      <c r="D62" s="23" t="str">
        <f>IF('Reel Register'!B62="","",'Reel Register'!D62)</f>
        <v/>
      </c>
      <c r="E62" s="23" t="str">
        <f>IF('Reel Register'!B62="","",'Reel Register'!G62)</f>
        <v/>
      </c>
      <c r="F62" s="23" t="str">
        <f>IF('Reel Register'!B62="","",'Reel Register'!E62)</f>
        <v/>
      </c>
      <c r="G62" s="23" t="str">
        <f>IF('Reel Register'!B62="","",'Reel Register'!F62)</f>
        <v/>
      </c>
      <c r="H62" s="23" t="str">
        <f>IF('Reel Register'!B62="","",'Reel Register'!I62)</f>
        <v/>
      </c>
      <c r="I62" s="21" t="str">
        <f>IF('Reel Register'!B62="","",'Reel Register'!L62)</f>
        <v/>
      </c>
      <c r="J62" s="23" t="str">
        <f>IF('Reel Register'!B62="","",'Reel Register'!N62)</f>
        <v/>
      </c>
      <c r="K62" s="24"/>
      <c r="L62" s="24"/>
      <c r="M62" s="24"/>
    </row>
    <row r="63" spans="1:13" x14ac:dyDescent="0.45">
      <c r="A63" s="15" t="str">
        <f>IF('Reel Register'!B63="","",ROW()-3)</f>
        <v/>
      </c>
      <c r="B63" s="23" t="str">
        <f>IF('Reel Register'!B63="","",'Reel Register'!B63)</f>
        <v/>
      </c>
      <c r="C63" s="23" t="str">
        <f>IF('Reel Register'!B63="","",'Reel Register'!C63)</f>
        <v/>
      </c>
      <c r="D63" s="23" t="str">
        <f>IF('Reel Register'!B63="","",'Reel Register'!D63)</f>
        <v/>
      </c>
      <c r="E63" s="23" t="str">
        <f>IF('Reel Register'!B63="","",'Reel Register'!G63)</f>
        <v/>
      </c>
      <c r="F63" s="23" t="str">
        <f>IF('Reel Register'!B63="","",'Reel Register'!E63)</f>
        <v/>
      </c>
      <c r="G63" s="23" t="str">
        <f>IF('Reel Register'!B63="","",'Reel Register'!F63)</f>
        <v/>
      </c>
      <c r="H63" s="23" t="str">
        <f>IF('Reel Register'!B63="","",'Reel Register'!I63)</f>
        <v/>
      </c>
      <c r="I63" s="21" t="str">
        <f>IF('Reel Register'!B63="","",'Reel Register'!L63)</f>
        <v/>
      </c>
      <c r="J63" s="23" t="str">
        <f>IF('Reel Register'!B63="","",'Reel Register'!N63)</f>
        <v/>
      </c>
      <c r="K63" s="24"/>
      <c r="L63" s="24"/>
      <c r="M63" s="24"/>
    </row>
    <row r="64" spans="1:13" x14ac:dyDescent="0.45">
      <c r="A64" s="15" t="str">
        <f>IF('Reel Register'!B64="","",ROW()-3)</f>
        <v/>
      </c>
      <c r="B64" s="23" t="str">
        <f>IF('Reel Register'!B64="","",'Reel Register'!B64)</f>
        <v/>
      </c>
      <c r="C64" s="23" t="str">
        <f>IF('Reel Register'!B64="","",'Reel Register'!C64)</f>
        <v/>
      </c>
      <c r="D64" s="23" t="str">
        <f>IF('Reel Register'!B64="","",'Reel Register'!D64)</f>
        <v/>
      </c>
      <c r="E64" s="23" t="str">
        <f>IF('Reel Register'!B64="","",'Reel Register'!G64)</f>
        <v/>
      </c>
      <c r="F64" s="23" t="str">
        <f>IF('Reel Register'!B64="","",'Reel Register'!E64)</f>
        <v/>
      </c>
      <c r="G64" s="23" t="str">
        <f>IF('Reel Register'!B64="","",'Reel Register'!F64)</f>
        <v/>
      </c>
      <c r="H64" s="23" t="str">
        <f>IF('Reel Register'!B64="","",'Reel Register'!I64)</f>
        <v/>
      </c>
      <c r="I64" s="21" t="str">
        <f>IF('Reel Register'!B64="","",'Reel Register'!L64)</f>
        <v/>
      </c>
      <c r="J64" s="23" t="str">
        <f>IF('Reel Register'!B64="","",'Reel Register'!N64)</f>
        <v/>
      </c>
      <c r="K64" s="24"/>
      <c r="L64" s="24"/>
      <c r="M64" s="24"/>
    </row>
    <row r="65" spans="1:13" x14ac:dyDescent="0.45">
      <c r="A65" s="15" t="str">
        <f>IF('Reel Register'!B65="","",ROW()-3)</f>
        <v/>
      </c>
      <c r="B65" s="23" t="str">
        <f>IF('Reel Register'!B65="","",'Reel Register'!B65)</f>
        <v/>
      </c>
      <c r="C65" s="23" t="str">
        <f>IF('Reel Register'!B65="","",'Reel Register'!C65)</f>
        <v/>
      </c>
      <c r="D65" s="23" t="str">
        <f>IF('Reel Register'!B65="","",'Reel Register'!D65)</f>
        <v/>
      </c>
      <c r="E65" s="23" t="str">
        <f>IF('Reel Register'!B65="","",'Reel Register'!G65)</f>
        <v/>
      </c>
      <c r="F65" s="23" t="str">
        <f>IF('Reel Register'!B65="","",'Reel Register'!E65)</f>
        <v/>
      </c>
      <c r="G65" s="23" t="str">
        <f>IF('Reel Register'!B65="","",'Reel Register'!F65)</f>
        <v/>
      </c>
      <c r="H65" s="23" t="str">
        <f>IF('Reel Register'!B65="","",'Reel Register'!I65)</f>
        <v/>
      </c>
      <c r="I65" s="21" t="str">
        <f>IF('Reel Register'!B65="","",'Reel Register'!L65)</f>
        <v/>
      </c>
      <c r="J65" s="23" t="str">
        <f>IF('Reel Register'!B65="","",'Reel Register'!N65)</f>
        <v/>
      </c>
      <c r="K65" s="24"/>
      <c r="L65" s="24"/>
      <c r="M65" s="24"/>
    </row>
    <row r="66" spans="1:13" x14ac:dyDescent="0.45">
      <c r="A66" s="15" t="str">
        <f>IF('Reel Register'!B66="","",ROW()-3)</f>
        <v/>
      </c>
      <c r="B66" s="23" t="str">
        <f>IF('Reel Register'!B66="","",'Reel Register'!B66)</f>
        <v/>
      </c>
      <c r="C66" s="23" t="str">
        <f>IF('Reel Register'!B66="","",'Reel Register'!C66)</f>
        <v/>
      </c>
      <c r="D66" s="23" t="str">
        <f>IF('Reel Register'!B66="","",'Reel Register'!D66)</f>
        <v/>
      </c>
      <c r="E66" s="23" t="str">
        <f>IF('Reel Register'!B66="","",'Reel Register'!G66)</f>
        <v/>
      </c>
      <c r="F66" s="23" t="str">
        <f>IF('Reel Register'!B66="","",'Reel Register'!E66)</f>
        <v/>
      </c>
      <c r="G66" s="23" t="str">
        <f>IF('Reel Register'!B66="","",'Reel Register'!F66)</f>
        <v/>
      </c>
      <c r="H66" s="23" t="str">
        <f>IF('Reel Register'!B66="","",'Reel Register'!I66)</f>
        <v/>
      </c>
      <c r="I66" s="21" t="str">
        <f>IF('Reel Register'!B66="","",'Reel Register'!L66)</f>
        <v/>
      </c>
      <c r="J66" s="23" t="str">
        <f>IF('Reel Register'!B66="","",'Reel Register'!N66)</f>
        <v/>
      </c>
      <c r="K66" s="24"/>
      <c r="L66" s="24"/>
      <c r="M66" s="24"/>
    </row>
    <row r="67" spans="1:13" x14ac:dyDescent="0.45">
      <c r="A67" s="15" t="str">
        <f>IF('Reel Register'!B67="","",ROW()-3)</f>
        <v/>
      </c>
      <c r="B67" s="23" t="str">
        <f>IF('Reel Register'!B67="","",'Reel Register'!B67)</f>
        <v/>
      </c>
      <c r="C67" s="23" t="str">
        <f>IF('Reel Register'!B67="","",'Reel Register'!C67)</f>
        <v/>
      </c>
      <c r="D67" s="23" t="str">
        <f>IF('Reel Register'!B67="","",'Reel Register'!D67)</f>
        <v/>
      </c>
      <c r="E67" s="23" t="str">
        <f>IF('Reel Register'!B67="","",'Reel Register'!G67)</f>
        <v/>
      </c>
      <c r="F67" s="23" t="str">
        <f>IF('Reel Register'!B67="","",'Reel Register'!E67)</f>
        <v/>
      </c>
      <c r="G67" s="23" t="str">
        <f>IF('Reel Register'!B67="","",'Reel Register'!F67)</f>
        <v/>
      </c>
      <c r="H67" s="23" t="str">
        <f>IF('Reel Register'!B67="","",'Reel Register'!I67)</f>
        <v/>
      </c>
      <c r="I67" s="21" t="str">
        <f>IF('Reel Register'!B67="","",'Reel Register'!L67)</f>
        <v/>
      </c>
      <c r="J67" s="23" t="str">
        <f>IF('Reel Register'!B67="","",'Reel Register'!N67)</f>
        <v/>
      </c>
      <c r="K67" s="24"/>
      <c r="L67" s="24"/>
      <c r="M67" s="24"/>
    </row>
    <row r="68" spans="1:13" x14ac:dyDescent="0.45">
      <c r="A68" s="15" t="str">
        <f>IF('Reel Register'!B68="","",ROW()-3)</f>
        <v/>
      </c>
      <c r="B68" s="23" t="str">
        <f>IF('Reel Register'!B68="","",'Reel Register'!B68)</f>
        <v/>
      </c>
      <c r="C68" s="23" t="str">
        <f>IF('Reel Register'!B68="","",'Reel Register'!C68)</f>
        <v/>
      </c>
      <c r="D68" s="23" t="str">
        <f>IF('Reel Register'!B68="","",'Reel Register'!D68)</f>
        <v/>
      </c>
      <c r="E68" s="23" t="str">
        <f>IF('Reel Register'!B68="","",'Reel Register'!G68)</f>
        <v/>
      </c>
      <c r="F68" s="23" t="str">
        <f>IF('Reel Register'!B68="","",'Reel Register'!E68)</f>
        <v/>
      </c>
      <c r="G68" s="23" t="str">
        <f>IF('Reel Register'!B68="","",'Reel Register'!F68)</f>
        <v/>
      </c>
      <c r="H68" s="23" t="str">
        <f>IF('Reel Register'!B68="","",'Reel Register'!I68)</f>
        <v/>
      </c>
      <c r="I68" s="21" t="str">
        <f>IF('Reel Register'!B68="","",'Reel Register'!L68)</f>
        <v/>
      </c>
      <c r="J68" s="23" t="str">
        <f>IF('Reel Register'!B68="","",'Reel Register'!N68)</f>
        <v/>
      </c>
      <c r="K68" s="24"/>
      <c r="L68" s="24"/>
      <c r="M68" s="24"/>
    </row>
    <row r="69" spans="1:13" x14ac:dyDescent="0.45">
      <c r="A69" s="15" t="str">
        <f>IF('Reel Register'!B69="","",ROW()-3)</f>
        <v/>
      </c>
      <c r="B69" s="23" t="str">
        <f>IF('Reel Register'!B69="","",'Reel Register'!B69)</f>
        <v/>
      </c>
      <c r="C69" s="23" t="str">
        <f>IF('Reel Register'!B69="","",'Reel Register'!C69)</f>
        <v/>
      </c>
      <c r="D69" s="23" t="str">
        <f>IF('Reel Register'!B69="","",'Reel Register'!D69)</f>
        <v/>
      </c>
      <c r="E69" s="23" t="str">
        <f>IF('Reel Register'!B69="","",'Reel Register'!G69)</f>
        <v/>
      </c>
      <c r="F69" s="23" t="str">
        <f>IF('Reel Register'!B69="","",'Reel Register'!E69)</f>
        <v/>
      </c>
      <c r="G69" s="23" t="str">
        <f>IF('Reel Register'!B69="","",'Reel Register'!F69)</f>
        <v/>
      </c>
      <c r="H69" s="23" t="str">
        <f>IF('Reel Register'!B69="","",'Reel Register'!I69)</f>
        <v/>
      </c>
      <c r="I69" s="21" t="str">
        <f>IF('Reel Register'!B69="","",'Reel Register'!L69)</f>
        <v/>
      </c>
      <c r="J69" s="23" t="str">
        <f>IF('Reel Register'!B69="","",'Reel Register'!N69)</f>
        <v/>
      </c>
      <c r="K69" s="24"/>
      <c r="L69" s="24"/>
      <c r="M69" s="24"/>
    </row>
    <row r="70" spans="1:13" x14ac:dyDescent="0.45">
      <c r="A70" s="15" t="str">
        <f>IF('Reel Register'!B70="","",ROW()-3)</f>
        <v/>
      </c>
      <c r="B70" s="23" t="str">
        <f>IF('Reel Register'!B70="","",'Reel Register'!B70)</f>
        <v/>
      </c>
      <c r="C70" s="23" t="str">
        <f>IF('Reel Register'!B70="","",'Reel Register'!C70)</f>
        <v/>
      </c>
      <c r="D70" s="23" t="str">
        <f>IF('Reel Register'!B70="","",'Reel Register'!D70)</f>
        <v/>
      </c>
      <c r="E70" s="23" t="str">
        <f>IF('Reel Register'!B70="","",'Reel Register'!G70)</f>
        <v/>
      </c>
      <c r="F70" s="23" t="str">
        <f>IF('Reel Register'!B70="","",'Reel Register'!E70)</f>
        <v/>
      </c>
      <c r="G70" s="23" t="str">
        <f>IF('Reel Register'!B70="","",'Reel Register'!F70)</f>
        <v/>
      </c>
      <c r="H70" s="23" t="str">
        <f>IF('Reel Register'!B70="","",'Reel Register'!I70)</f>
        <v/>
      </c>
      <c r="I70" s="21" t="str">
        <f>IF('Reel Register'!B70="","",'Reel Register'!L70)</f>
        <v/>
      </c>
      <c r="J70" s="23" t="str">
        <f>IF('Reel Register'!B70="","",'Reel Register'!N70)</f>
        <v/>
      </c>
      <c r="K70" s="24"/>
      <c r="L70" s="24"/>
      <c r="M70" s="24"/>
    </row>
    <row r="71" spans="1:13" x14ac:dyDescent="0.45">
      <c r="A71" s="15" t="str">
        <f>IF('Reel Register'!B71="","",ROW()-3)</f>
        <v/>
      </c>
      <c r="B71" s="23" t="str">
        <f>IF('Reel Register'!B71="","",'Reel Register'!B71)</f>
        <v/>
      </c>
      <c r="C71" s="23" t="str">
        <f>IF('Reel Register'!B71="","",'Reel Register'!C71)</f>
        <v/>
      </c>
      <c r="D71" s="23" t="str">
        <f>IF('Reel Register'!B71="","",'Reel Register'!D71)</f>
        <v/>
      </c>
      <c r="E71" s="23" t="str">
        <f>IF('Reel Register'!B71="","",'Reel Register'!G71)</f>
        <v/>
      </c>
      <c r="F71" s="23" t="str">
        <f>IF('Reel Register'!B71="","",'Reel Register'!E71)</f>
        <v/>
      </c>
      <c r="G71" s="23" t="str">
        <f>IF('Reel Register'!B71="","",'Reel Register'!F71)</f>
        <v/>
      </c>
      <c r="H71" s="23" t="str">
        <f>IF('Reel Register'!B71="","",'Reel Register'!I71)</f>
        <v/>
      </c>
      <c r="I71" s="21" t="str">
        <f>IF('Reel Register'!B71="","",'Reel Register'!L71)</f>
        <v/>
      </c>
      <c r="J71" s="23" t="str">
        <f>IF('Reel Register'!B71="","",'Reel Register'!N71)</f>
        <v/>
      </c>
      <c r="K71" s="24"/>
      <c r="L71" s="24"/>
      <c r="M71" s="24"/>
    </row>
    <row r="72" spans="1:13" x14ac:dyDescent="0.45">
      <c r="A72" s="15" t="str">
        <f>IF('Reel Register'!B72="","",ROW()-3)</f>
        <v/>
      </c>
      <c r="B72" s="23" t="str">
        <f>IF('Reel Register'!B72="","",'Reel Register'!B72)</f>
        <v/>
      </c>
      <c r="C72" s="23" t="str">
        <f>IF('Reel Register'!B72="","",'Reel Register'!C72)</f>
        <v/>
      </c>
      <c r="D72" s="23" t="str">
        <f>IF('Reel Register'!B72="","",'Reel Register'!D72)</f>
        <v/>
      </c>
      <c r="E72" s="23" t="str">
        <f>IF('Reel Register'!B72="","",'Reel Register'!G72)</f>
        <v/>
      </c>
      <c r="F72" s="23" t="str">
        <f>IF('Reel Register'!B72="","",'Reel Register'!E72)</f>
        <v/>
      </c>
      <c r="G72" s="23" t="str">
        <f>IF('Reel Register'!B72="","",'Reel Register'!F72)</f>
        <v/>
      </c>
      <c r="H72" s="23" t="str">
        <f>IF('Reel Register'!B72="","",'Reel Register'!I72)</f>
        <v/>
      </c>
      <c r="I72" s="21" t="str">
        <f>IF('Reel Register'!B72="","",'Reel Register'!L72)</f>
        <v/>
      </c>
      <c r="J72" s="23" t="str">
        <f>IF('Reel Register'!B72="","",'Reel Register'!N72)</f>
        <v/>
      </c>
      <c r="K72" s="24"/>
      <c r="L72" s="24"/>
      <c r="M72" s="24"/>
    </row>
    <row r="73" spans="1:13" x14ac:dyDescent="0.45">
      <c r="A73" s="15" t="str">
        <f>IF('Reel Register'!B73="","",ROW()-3)</f>
        <v/>
      </c>
      <c r="B73" s="23" t="str">
        <f>IF('Reel Register'!B73="","",'Reel Register'!B73)</f>
        <v/>
      </c>
      <c r="C73" s="23" t="str">
        <f>IF('Reel Register'!B73="","",'Reel Register'!C73)</f>
        <v/>
      </c>
      <c r="D73" s="23" t="str">
        <f>IF('Reel Register'!B73="","",'Reel Register'!D73)</f>
        <v/>
      </c>
      <c r="E73" s="23" t="str">
        <f>IF('Reel Register'!B73="","",'Reel Register'!G73)</f>
        <v/>
      </c>
      <c r="F73" s="23" t="str">
        <f>IF('Reel Register'!B73="","",'Reel Register'!E73)</f>
        <v/>
      </c>
      <c r="G73" s="23" t="str">
        <f>IF('Reel Register'!B73="","",'Reel Register'!F73)</f>
        <v/>
      </c>
      <c r="H73" s="23" t="str">
        <f>IF('Reel Register'!B73="","",'Reel Register'!I73)</f>
        <v/>
      </c>
      <c r="I73" s="21" t="str">
        <f>IF('Reel Register'!B73="","",'Reel Register'!L73)</f>
        <v/>
      </c>
      <c r="J73" s="23" t="str">
        <f>IF('Reel Register'!B73="","",'Reel Register'!N73)</f>
        <v/>
      </c>
      <c r="K73" s="24"/>
      <c r="L73" s="24"/>
      <c r="M73" s="24"/>
    </row>
    <row r="74" spans="1:13" x14ac:dyDescent="0.45">
      <c r="A74" s="15" t="str">
        <f>IF('Reel Register'!B74="","",ROW()-3)</f>
        <v/>
      </c>
      <c r="B74" s="23" t="str">
        <f>IF('Reel Register'!B74="","",'Reel Register'!B74)</f>
        <v/>
      </c>
      <c r="C74" s="23" t="str">
        <f>IF('Reel Register'!B74="","",'Reel Register'!C74)</f>
        <v/>
      </c>
      <c r="D74" s="23" t="str">
        <f>IF('Reel Register'!B74="","",'Reel Register'!D74)</f>
        <v/>
      </c>
      <c r="E74" s="23" t="str">
        <f>IF('Reel Register'!B74="","",'Reel Register'!G74)</f>
        <v/>
      </c>
      <c r="F74" s="23" t="str">
        <f>IF('Reel Register'!B74="","",'Reel Register'!E74)</f>
        <v/>
      </c>
      <c r="G74" s="23" t="str">
        <f>IF('Reel Register'!B74="","",'Reel Register'!F74)</f>
        <v/>
      </c>
      <c r="H74" s="23" t="str">
        <f>IF('Reel Register'!B74="","",'Reel Register'!I74)</f>
        <v/>
      </c>
      <c r="I74" s="21" t="str">
        <f>IF('Reel Register'!B74="","",'Reel Register'!L74)</f>
        <v/>
      </c>
      <c r="J74" s="23" t="str">
        <f>IF('Reel Register'!B74="","",'Reel Register'!N74)</f>
        <v/>
      </c>
      <c r="K74" s="24"/>
      <c r="L74" s="24"/>
      <c r="M74" s="24"/>
    </row>
    <row r="75" spans="1:13" x14ac:dyDescent="0.45">
      <c r="A75" s="15" t="str">
        <f>IF('Reel Register'!B75="","",ROW()-3)</f>
        <v/>
      </c>
      <c r="B75" s="23" t="str">
        <f>IF('Reel Register'!B75="","",'Reel Register'!B75)</f>
        <v/>
      </c>
      <c r="C75" s="23" t="str">
        <f>IF('Reel Register'!B75="","",'Reel Register'!C75)</f>
        <v/>
      </c>
      <c r="D75" s="23" t="str">
        <f>IF('Reel Register'!B75="","",'Reel Register'!D75)</f>
        <v/>
      </c>
      <c r="E75" s="23" t="str">
        <f>IF('Reel Register'!B75="","",'Reel Register'!G75)</f>
        <v/>
      </c>
      <c r="F75" s="23" t="str">
        <f>IF('Reel Register'!B75="","",'Reel Register'!E75)</f>
        <v/>
      </c>
      <c r="G75" s="23" t="str">
        <f>IF('Reel Register'!B75="","",'Reel Register'!F75)</f>
        <v/>
      </c>
      <c r="H75" s="23" t="str">
        <f>IF('Reel Register'!B75="","",'Reel Register'!I75)</f>
        <v/>
      </c>
      <c r="I75" s="21" t="str">
        <f>IF('Reel Register'!B75="","",'Reel Register'!L75)</f>
        <v/>
      </c>
      <c r="J75" s="23" t="str">
        <f>IF('Reel Register'!B75="","",'Reel Register'!N75)</f>
        <v/>
      </c>
      <c r="K75" s="24"/>
      <c r="L75" s="24"/>
      <c r="M75" s="24"/>
    </row>
    <row r="76" spans="1:13" x14ac:dyDescent="0.45">
      <c r="A76" s="15" t="str">
        <f>IF('Reel Register'!B76="","",ROW()-3)</f>
        <v/>
      </c>
      <c r="B76" s="23" t="str">
        <f>IF('Reel Register'!B76="","",'Reel Register'!B76)</f>
        <v/>
      </c>
      <c r="C76" s="23" t="str">
        <f>IF('Reel Register'!B76="","",'Reel Register'!C76)</f>
        <v/>
      </c>
      <c r="D76" s="23" t="str">
        <f>IF('Reel Register'!B76="","",'Reel Register'!D76)</f>
        <v/>
      </c>
      <c r="E76" s="23" t="str">
        <f>IF('Reel Register'!B76="","",'Reel Register'!G76)</f>
        <v/>
      </c>
      <c r="F76" s="23" t="str">
        <f>IF('Reel Register'!B76="","",'Reel Register'!E76)</f>
        <v/>
      </c>
      <c r="G76" s="23" t="str">
        <f>IF('Reel Register'!B76="","",'Reel Register'!F76)</f>
        <v/>
      </c>
      <c r="H76" s="23" t="str">
        <f>IF('Reel Register'!B76="","",'Reel Register'!I76)</f>
        <v/>
      </c>
      <c r="I76" s="21" t="str">
        <f>IF('Reel Register'!B76="","",'Reel Register'!L76)</f>
        <v/>
      </c>
      <c r="J76" s="23" t="str">
        <f>IF('Reel Register'!B76="","",'Reel Register'!N76)</f>
        <v/>
      </c>
      <c r="K76" s="24"/>
      <c r="L76" s="24"/>
      <c r="M76" s="24"/>
    </row>
    <row r="77" spans="1:13" x14ac:dyDescent="0.45">
      <c r="A77" s="15" t="str">
        <f>IF('Reel Register'!B77="","",ROW()-3)</f>
        <v/>
      </c>
      <c r="B77" s="23" t="str">
        <f>IF('Reel Register'!B77="","",'Reel Register'!B77)</f>
        <v/>
      </c>
      <c r="C77" s="23" t="str">
        <f>IF('Reel Register'!B77="","",'Reel Register'!C77)</f>
        <v/>
      </c>
      <c r="D77" s="23" t="str">
        <f>IF('Reel Register'!B77="","",'Reel Register'!D77)</f>
        <v/>
      </c>
      <c r="E77" s="23" t="str">
        <f>IF('Reel Register'!B77="","",'Reel Register'!G77)</f>
        <v/>
      </c>
      <c r="F77" s="23" t="str">
        <f>IF('Reel Register'!B77="","",'Reel Register'!E77)</f>
        <v/>
      </c>
      <c r="G77" s="23" t="str">
        <f>IF('Reel Register'!B77="","",'Reel Register'!F77)</f>
        <v/>
      </c>
      <c r="H77" s="23" t="str">
        <f>IF('Reel Register'!B77="","",'Reel Register'!I77)</f>
        <v/>
      </c>
      <c r="I77" s="21" t="str">
        <f>IF('Reel Register'!B77="","",'Reel Register'!L77)</f>
        <v/>
      </c>
      <c r="J77" s="23" t="str">
        <f>IF('Reel Register'!B77="","",'Reel Register'!N77)</f>
        <v/>
      </c>
      <c r="K77" s="24"/>
      <c r="L77" s="24"/>
      <c r="M77" s="24"/>
    </row>
    <row r="78" spans="1:13" x14ac:dyDescent="0.45">
      <c r="A78" s="15" t="str">
        <f>IF('Reel Register'!B78="","",ROW()-3)</f>
        <v/>
      </c>
      <c r="B78" s="23" t="str">
        <f>IF('Reel Register'!B78="","",'Reel Register'!B78)</f>
        <v/>
      </c>
      <c r="C78" s="23" t="str">
        <f>IF('Reel Register'!B78="","",'Reel Register'!C78)</f>
        <v/>
      </c>
      <c r="D78" s="23" t="str">
        <f>IF('Reel Register'!B78="","",'Reel Register'!D78)</f>
        <v/>
      </c>
      <c r="E78" s="23" t="str">
        <f>IF('Reel Register'!B78="","",'Reel Register'!G78)</f>
        <v/>
      </c>
      <c r="F78" s="23" t="str">
        <f>IF('Reel Register'!B78="","",'Reel Register'!E78)</f>
        <v/>
      </c>
      <c r="G78" s="23" t="str">
        <f>IF('Reel Register'!B78="","",'Reel Register'!F78)</f>
        <v/>
      </c>
      <c r="H78" s="23" t="str">
        <f>IF('Reel Register'!B78="","",'Reel Register'!I78)</f>
        <v/>
      </c>
      <c r="I78" s="21" t="str">
        <f>IF('Reel Register'!B78="","",'Reel Register'!L78)</f>
        <v/>
      </c>
      <c r="J78" s="23" t="str">
        <f>IF('Reel Register'!B78="","",'Reel Register'!N78)</f>
        <v/>
      </c>
      <c r="K78" s="24"/>
      <c r="L78" s="24"/>
      <c r="M78" s="24"/>
    </row>
    <row r="79" spans="1:13" x14ac:dyDescent="0.45">
      <c r="A79" s="15" t="str">
        <f>IF('Reel Register'!B79="","",ROW()-3)</f>
        <v/>
      </c>
      <c r="B79" s="23" t="str">
        <f>IF('Reel Register'!B79="","",'Reel Register'!B79)</f>
        <v/>
      </c>
      <c r="C79" s="23" t="str">
        <f>IF('Reel Register'!B79="","",'Reel Register'!C79)</f>
        <v/>
      </c>
      <c r="D79" s="23" t="str">
        <f>IF('Reel Register'!B79="","",'Reel Register'!D79)</f>
        <v/>
      </c>
      <c r="E79" s="23" t="str">
        <f>IF('Reel Register'!B79="","",'Reel Register'!G79)</f>
        <v/>
      </c>
      <c r="F79" s="23" t="str">
        <f>IF('Reel Register'!B79="","",'Reel Register'!E79)</f>
        <v/>
      </c>
      <c r="G79" s="23" t="str">
        <f>IF('Reel Register'!B79="","",'Reel Register'!F79)</f>
        <v/>
      </c>
      <c r="H79" s="23" t="str">
        <f>IF('Reel Register'!B79="","",'Reel Register'!I79)</f>
        <v/>
      </c>
      <c r="I79" s="21" t="str">
        <f>IF('Reel Register'!B79="","",'Reel Register'!L79)</f>
        <v/>
      </c>
      <c r="J79" s="23" t="str">
        <f>IF('Reel Register'!B79="","",'Reel Register'!N79)</f>
        <v/>
      </c>
      <c r="K79" s="24"/>
      <c r="L79" s="24"/>
      <c r="M79" s="24"/>
    </row>
    <row r="80" spans="1:13" x14ac:dyDescent="0.45">
      <c r="A80" s="15" t="str">
        <f>IF('Reel Register'!B80="","",ROW()-3)</f>
        <v/>
      </c>
      <c r="B80" s="23" t="str">
        <f>IF('Reel Register'!B80="","",'Reel Register'!B80)</f>
        <v/>
      </c>
      <c r="C80" s="23" t="str">
        <f>IF('Reel Register'!B80="","",'Reel Register'!C80)</f>
        <v/>
      </c>
      <c r="D80" s="23" t="str">
        <f>IF('Reel Register'!B80="","",'Reel Register'!D80)</f>
        <v/>
      </c>
      <c r="E80" s="23" t="str">
        <f>IF('Reel Register'!B80="","",'Reel Register'!G80)</f>
        <v/>
      </c>
      <c r="F80" s="23" t="str">
        <f>IF('Reel Register'!B80="","",'Reel Register'!E80)</f>
        <v/>
      </c>
      <c r="G80" s="23" t="str">
        <f>IF('Reel Register'!B80="","",'Reel Register'!F80)</f>
        <v/>
      </c>
      <c r="H80" s="23" t="str">
        <f>IF('Reel Register'!B80="","",'Reel Register'!I80)</f>
        <v/>
      </c>
      <c r="I80" s="21" t="str">
        <f>IF('Reel Register'!B80="","",'Reel Register'!L80)</f>
        <v/>
      </c>
      <c r="J80" s="23" t="str">
        <f>IF('Reel Register'!B80="","",'Reel Register'!N80)</f>
        <v/>
      </c>
      <c r="K80" s="24"/>
      <c r="L80" s="24"/>
      <c r="M80" s="24"/>
    </row>
    <row r="81" spans="1:13" x14ac:dyDescent="0.45">
      <c r="A81" s="15" t="str">
        <f>IF('Reel Register'!B81="","",ROW()-3)</f>
        <v/>
      </c>
      <c r="B81" s="23" t="str">
        <f>IF('Reel Register'!B81="","",'Reel Register'!B81)</f>
        <v/>
      </c>
      <c r="C81" s="23" t="str">
        <f>IF('Reel Register'!B81="","",'Reel Register'!C81)</f>
        <v/>
      </c>
      <c r="D81" s="23" t="str">
        <f>IF('Reel Register'!B81="","",'Reel Register'!D81)</f>
        <v/>
      </c>
      <c r="E81" s="23" t="str">
        <f>IF('Reel Register'!B81="","",'Reel Register'!G81)</f>
        <v/>
      </c>
      <c r="F81" s="23" t="str">
        <f>IF('Reel Register'!B81="","",'Reel Register'!E81)</f>
        <v/>
      </c>
      <c r="G81" s="23" t="str">
        <f>IF('Reel Register'!B81="","",'Reel Register'!F81)</f>
        <v/>
      </c>
      <c r="H81" s="23" t="str">
        <f>IF('Reel Register'!B81="","",'Reel Register'!I81)</f>
        <v/>
      </c>
      <c r="I81" s="21" t="str">
        <f>IF('Reel Register'!B81="","",'Reel Register'!L81)</f>
        <v/>
      </c>
      <c r="J81" s="23" t="str">
        <f>IF('Reel Register'!B81="","",'Reel Register'!N81)</f>
        <v/>
      </c>
      <c r="K81" s="24"/>
      <c r="L81" s="24"/>
      <c r="M81" s="24"/>
    </row>
    <row r="82" spans="1:13" x14ac:dyDescent="0.45">
      <c r="A82" s="15" t="str">
        <f>IF('Reel Register'!B82="","",ROW()-3)</f>
        <v/>
      </c>
      <c r="B82" s="23" t="str">
        <f>IF('Reel Register'!B82="","",'Reel Register'!B82)</f>
        <v/>
      </c>
      <c r="C82" s="23" t="str">
        <f>IF('Reel Register'!B82="","",'Reel Register'!C82)</f>
        <v/>
      </c>
      <c r="D82" s="23" t="str">
        <f>IF('Reel Register'!B82="","",'Reel Register'!D82)</f>
        <v/>
      </c>
      <c r="E82" s="23" t="str">
        <f>IF('Reel Register'!B82="","",'Reel Register'!G82)</f>
        <v/>
      </c>
      <c r="F82" s="23" t="str">
        <f>IF('Reel Register'!B82="","",'Reel Register'!E82)</f>
        <v/>
      </c>
      <c r="G82" s="23" t="str">
        <f>IF('Reel Register'!B82="","",'Reel Register'!F82)</f>
        <v/>
      </c>
      <c r="H82" s="23" t="str">
        <f>IF('Reel Register'!B82="","",'Reel Register'!I82)</f>
        <v/>
      </c>
      <c r="I82" s="21" t="str">
        <f>IF('Reel Register'!B82="","",'Reel Register'!L82)</f>
        <v/>
      </c>
      <c r="J82" s="23" t="str">
        <f>IF('Reel Register'!B82="","",'Reel Register'!N82)</f>
        <v/>
      </c>
      <c r="K82" s="24"/>
      <c r="L82" s="24"/>
      <c r="M82" s="24"/>
    </row>
    <row r="83" spans="1:13" x14ac:dyDescent="0.45">
      <c r="A83" s="15" t="str">
        <f>IF('Reel Register'!B83="","",ROW()-3)</f>
        <v/>
      </c>
      <c r="B83" s="23" t="str">
        <f>IF('Reel Register'!B83="","",'Reel Register'!B83)</f>
        <v/>
      </c>
      <c r="C83" s="23" t="str">
        <f>IF('Reel Register'!B83="","",'Reel Register'!C83)</f>
        <v/>
      </c>
      <c r="D83" s="23" t="str">
        <f>IF('Reel Register'!B83="","",'Reel Register'!D83)</f>
        <v/>
      </c>
      <c r="E83" s="23" t="str">
        <f>IF('Reel Register'!B83="","",'Reel Register'!G83)</f>
        <v/>
      </c>
      <c r="F83" s="23" t="str">
        <f>IF('Reel Register'!B83="","",'Reel Register'!E83)</f>
        <v/>
      </c>
      <c r="G83" s="23" t="str">
        <f>IF('Reel Register'!B83="","",'Reel Register'!F83)</f>
        <v/>
      </c>
      <c r="H83" s="23" t="str">
        <f>IF('Reel Register'!B83="","",'Reel Register'!I83)</f>
        <v/>
      </c>
      <c r="I83" s="21" t="str">
        <f>IF('Reel Register'!B83="","",'Reel Register'!L83)</f>
        <v/>
      </c>
      <c r="J83" s="23" t="str">
        <f>IF('Reel Register'!B83="","",'Reel Register'!N83)</f>
        <v/>
      </c>
      <c r="K83" s="24"/>
      <c r="L83" s="24"/>
      <c r="M83" s="24"/>
    </row>
    <row r="84" spans="1:13" x14ac:dyDescent="0.45">
      <c r="A84" s="15" t="str">
        <f>IF('Reel Register'!B84="","",ROW()-3)</f>
        <v/>
      </c>
      <c r="B84" s="23" t="str">
        <f>IF('Reel Register'!B84="","",'Reel Register'!B84)</f>
        <v/>
      </c>
      <c r="C84" s="23" t="str">
        <f>IF('Reel Register'!B84="","",'Reel Register'!C84)</f>
        <v/>
      </c>
      <c r="D84" s="23" t="str">
        <f>IF('Reel Register'!B84="","",'Reel Register'!D84)</f>
        <v/>
      </c>
      <c r="E84" s="23" t="str">
        <f>IF('Reel Register'!B84="","",'Reel Register'!G84)</f>
        <v/>
      </c>
      <c r="F84" s="23" t="str">
        <f>IF('Reel Register'!B84="","",'Reel Register'!E84)</f>
        <v/>
      </c>
      <c r="G84" s="23" t="str">
        <f>IF('Reel Register'!B84="","",'Reel Register'!F84)</f>
        <v/>
      </c>
      <c r="H84" s="23" t="str">
        <f>IF('Reel Register'!B84="","",'Reel Register'!I84)</f>
        <v/>
      </c>
      <c r="I84" s="21" t="str">
        <f>IF('Reel Register'!B84="","",'Reel Register'!L84)</f>
        <v/>
      </c>
      <c r="J84" s="23" t="str">
        <f>IF('Reel Register'!B84="","",'Reel Register'!N84)</f>
        <v/>
      </c>
      <c r="K84" s="24"/>
      <c r="L84" s="24"/>
      <c r="M84" s="24"/>
    </row>
    <row r="85" spans="1:13" x14ac:dyDescent="0.45">
      <c r="A85" s="15" t="str">
        <f>IF('Reel Register'!B85="","",ROW()-3)</f>
        <v/>
      </c>
      <c r="B85" s="23" t="str">
        <f>IF('Reel Register'!B85="","",'Reel Register'!B85)</f>
        <v/>
      </c>
      <c r="C85" s="23" t="str">
        <f>IF('Reel Register'!B85="","",'Reel Register'!C85)</f>
        <v/>
      </c>
      <c r="D85" s="23" t="str">
        <f>IF('Reel Register'!B85="","",'Reel Register'!D85)</f>
        <v/>
      </c>
      <c r="E85" s="23" t="str">
        <f>IF('Reel Register'!B85="","",'Reel Register'!G85)</f>
        <v/>
      </c>
      <c r="F85" s="23" t="str">
        <f>IF('Reel Register'!B85="","",'Reel Register'!E85)</f>
        <v/>
      </c>
      <c r="G85" s="23" t="str">
        <f>IF('Reel Register'!B85="","",'Reel Register'!F85)</f>
        <v/>
      </c>
      <c r="H85" s="23" t="str">
        <f>IF('Reel Register'!B85="","",'Reel Register'!I85)</f>
        <v/>
      </c>
      <c r="I85" s="21" t="str">
        <f>IF('Reel Register'!B85="","",'Reel Register'!L85)</f>
        <v/>
      </c>
      <c r="J85" s="23" t="str">
        <f>IF('Reel Register'!B85="","",'Reel Register'!N85)</f>
        <v/>
      </c>
      <c r="K85" s="24"/>
      <c r="L85" s="24"/>
      <c r="M85" s="24"/>
    </row>
    <row r="86" spans="1:13" x14ac:dyDescent="0.45">
      <c r="A86" s="15" t="str">
        <f>IF('Reel Register'!B86="","",ROW()-3)</f>
        <v/>
      </c>
      <c r="B86" s="23" t="str">
        <f>IF('Reel Register'!B86="","",'Reel Register'!B86)</f>
        <v/>
      </c>
      <c r="C86" s="23" t="str">
        <f>IF('Reel Register'!B86="","",'Reel Register'!C86)</f>
        <v/>
      </c>
      <c r="D86" s="23" t="str">
        <f>IF('Reel Register'!B86="","",'Reel Register'!D86)</f>
        <v/>
      </c>
      <c r="E86" s="23" t="str">
        <f>IF('Reel Register'!B86="","",'Reel Register'!G86)</f>
        <v/>
      </c>
      <c r="F86" s="23" t="str">
        <f>IF('Reel Register'!B86="","",'Reel Register'!E86)</f>
        <v/>
      </c>
      <c r="G86" s="23" t="str">
        <f>IF('Reel Register'!B86="","",'Reel Register'!F86)</f>
        <v/>
      </c>
      <c r="H86" s="23" t="str">
        <f>IF('Reel Register'!B86="","",'Reel Register'!I86)</f>
        <v/>
      </c>
      <c r="I86" s="21" t="str">
        <f>IF('Reel Register'!B86="","",'Reel Register'!L86)</f>
        <v/>
      </c>
      <c r="J86" s="23" t="str">
        <f>IF('Reel Register'!B86="","",'Reel Register'!N86)</f>
        <v/>
      </c>
      <c r="K86" s="24"/>
      <c r="L86" s="24"/>
      <c r="M86" s="24"/>
    </row>
    <row r="87" spans="1:13" x14ac:dyDescent="0.45">
      <c r="A87" s="15" t="str">
        <f>IF('Reel Register'!B87="","",ROW()-3)</f>
        <v/>
      </c>
      <c r="B87" s="23" t="str">
        <f>IF('Reel Register'!B87="","",'Reel Register'!B87)</f>
        <v/>
      </c>
      <c r="C87" s="23" t="str">
        <f>IF('Reel Register'!B87="","",'Reel Register'!C87)</f>
        <v/>
      </c>
      <c r="D87" s="23" t="str">
        <f>IF('Reel Register'!B87="","",'Reel Register'!D87)</f>
        <v/>
      </c>
      <c r="E87" s="23" t="str">
        <f>IF('Reel Register'!B87="","",'Reel Register'!G87)</f>
        <v/>
      </c>
      <c r="F87" s="23" t="str">
        <f>IF('Reel Register'!B87="","",'Reel Register'!E87)</f>
        <v/>
      </c>
      <c r="G87" s="23" t="str">
        <f>IF('Reel Register'!B87="","",'Reel Register'!F87)</f>
        <v/>
      </c>
      <c r="H87" s="23" t="str">
        <f>IF('Reel Register'!B87="","",'Reel Register'!I87)</f>
        <v/>
      </c>
      <c r="I87" s="21" t="str">
        <f>IF('Reel Register'!B87="","",'Reel Register'!L87)</f>
        <v/>
      </c>
      <c r="J87" s="23" t="str">
        <f>IF('Reel Register'!B87="","",'Reel Register'!N87)</f>
        <v/>
      </c>
      <c r="K87" s="24"/>
      <c r="L87" s="24"/>
      <c r="M87" s="24"/>
    </row>
    <row r="88" spans="1:13" x14ac:dyDescent="0.45">
      <c r="A88" s="15" t="str">
        <f>IF('Reel Register'!B88="","",ROW()-3)</f>
        <v/>
      </c>
      <c r="B88" s="23" t="str">
        <f>IF('Reel Register'!B88="","",'Reel Register'!B88)</f>
        <v/>
      </c>
      <c r="C88" s="23" t="str">
        <f>IF('Reel Register'!B88="","",'Reel Register'!C88)</f>
        <v/>
      </c>
      <c r="D88" s="23" t="str">
        <f>IF('Reel Register'!B88="","",'Reel Register'!D88)</f>
        <v/>
      </c>
      <c r="E88" s="23" t="str">
        <f>IF('Reel Register'!B88="","",'Reel Register'!G88)</f>
        <v/>
      </c>
      <c r="F88" s="23" t="str">
        <f>IF('Reel Register'!B88="","",'Reel Register'!E88)</f>
        <v/>
      </c>
      <c r="G88" s="23" t="str">
        <f>IF('Reel Register'!B88="","",'Reel Register'!F88)</f>
        <v/>
      </c>
      <c r="H88" s="23" t="str">
        <f>IF('Reel Register'!B88="","",'Reel Register'!I88)</f>
        <v/>
      </c>
      <c r="I88" s="21" t="str">
        <f>IF('Reel Register'!B88="","",'Reel Register'!L88)</f>
        <v/>
      </c>
      <c r="J88" s="23" t="str">
        <f>IF('Reel Register'!B88="","",'Reel Register'!N88)</f>
        <v/>
      </c>
      <c r="K88" s="24"/>
      <c r="L88" s="24"/>
      <c r="M88" s="24"/>
    </row>
    <row r="89" spans="1:13" x14ac:dyDescent="0.45">
      <c r="A89" s="15" t="str">
        <f>IF('Reel Register'!B89="","",ROW()-3)</f>
        <v/>
      </c>
      <c r="B89" s="23" t="str">
        <f>IF('Reel Register'!B89="","",'Reel Register'!B89)</f>
        <v/>
      </c>
      <c r="C89" s="23" t="str">
        <f>IF('Reel Register'!B89="","",'Reel Register'!C89)</f>
        <v/>
      </c>
      <c r="D89" s="23" t="str">
        <f>IF('Reel Register'!B89="","",'Reel Register'!D89)</f>
        <v/>
      </c>
      <c r="E89" s="23" t="str">
        <f>IF('Reel Register'!B89="","",'Reel Register'!G89)</f>
        <v/>
      </c>
      <c r="F89" s="23" t="str">
        <f>IF('Reel Register'!B89="","",'Reel Register'!E89)</f>
        <v/>
      </c>
      <c r="G89" s="23" t="str">
        <f>IF('Reel Register'!B89="","",'Reel Register'!F89)</f>
        <v/>
      </c>
      <c r="H89" s="23" t="str">
        <f>IF('Reel Register'!B89="","",'Reel Register'!I89)</f>
        <v/>
      </c>
      <c r="I89" s="21" t="str">
        <f>IF('Reel Register'!B89="","",'Reel Register'!L89)</f>
        <v/>
      </c>
      <c r="J89" s="23" t="str">
        <f>IF('Reel Register'!B89="","",'Reel Register'!N89)</f>
        <v/>
      </c>
      <c r="K89" s="24"/>
      <c r="L89" s="24"/>
      <c r="M89" s="24"/>
    </row>
    <row r="90" spans="1:13" x14ac:dyDescent="0.45">
      <c r="A90" s="15" t="str">
        <f>IF('Reel Register'!B90="","",ROW()-3)</f>
        <v/>
      </c>
      <c r="B90" s="23" t="str">
        <f>IF('Reel Register'!B90="","",'Reel Register'!B90)</f>
        <v/>
      </c>
      <c r="C90" s="23" t="str">
        <f>IF('Reel Register'!B90="","",'Reel Register'!C90)</f>
        <v/>
      </c>
      <c r="D90" s="23" t="str">
        <f>IF('Reel Register'!B90="","",'Reel Register'!D90)</f>
        <v/>
      </c>
      <c r="E90" s="23" t="str">
        <f>IF('Reel Register'!B90="","",'Reel Register'!G90)</f>
        <v/>
      </c>
      <c r="F90" s="23" t="str">
        <f>IF('Reel Register'!B90="","",'Reel Register'!E90)</f>
        <v/>
      </c>
      <c r="G90" s="23" t="str">
        <f>IF('Reel Register'!B90="","",'Reel Register'!F90)</f>
        <v/>
      </c>
      <c r="H90" s="23" t="str">
        <f>IF('Reel Register'!B90="","",'Reel Register'!I90)</f>
        <v/>
      </c>
      <c r="I90" s="21" t="str">
        <f>IF('Reel Register'!B90="","",'Reel Register'!L90)</f>
        <v/>
      </c>
      <c r="J90" s="23" t="str">
        <f>IF('Reel Register'!B90="","",'Reel Register'!N90)</f>
        <v/>
      </c>
      <c r="K90" s="24"/>
      <c r="L90" s="24"/>
      <c r="M90" s="24"/>
    </row>
    <row r="91" spans="1:13" x14ac:dyDescent="0.45">
      <c r="A91" s="15" t="str">
        <f>IF('Reel Register'!B91="","",ROW()-3)</f>
        <v/>
      </c>
      <c r="B91" s="23" t="str">
        <f>IF('Reel Register'!B91="","",'Reel Register'!B91)</f>
        <v/>
      </c>
      <c r="C91" s="23" t="str">
        <f>IF('Reel Register'!B91="","",'Reel Register'!C91)</f>
        <v/>
      </c>
      <c r="D91" s="23" t="str">
        <f>IF('Reel Register'!B91="","",'Reel Register'!D91)</f>
        <v/>
      </c>
      <c r="E91" s="23" t="str">
        <f>IF('Reel Register'!B91="","",'Reel Register'!G91)</f>
        <v/>
      </c>
      <c r="F91" s="23" t="str">
        <f>IF('Reel Register'!B91="","",'Reel Register'!E91)</f>
        <v/>
      </c>
      <c r="G91" s="23" t="str">
        <f>IF('Reel Register'!B91="","",'Reel Register'!F91)</f>
        <v/>
      </c>
      <c r="H91" s="23" t="str">
        <f>IF('Reel Register'!B91="","",'Reel Register'!I91)</f>
        <v/>
      </c>
      <c r="I91" s="21" t="str">
        <f>IF('Reel Register'!B91="","",'Reel Register'!L91)</f>
        <v/>
      </c>
      <c r="J91" s="23" t="str">
        <f>IF('Reel Register'!B91="","",'Reel Register'!N91)</f>
        <v/>
      </c>
      <c r="K91" s="24"/>
      <c r="L91" s="24"/>
      <c r="M91" s="24"/>
    </row>
    <row r="92" spans="1:13" x14ac:dyDescent="0.45">
      <c r="A92" s="15" t="str">
        <f>IF('Reel Register'!B92="","",ROW()-3)</f>
        <v/>
      </c>
      <c r="B92" s="23" t="str">
        <f>IF('Reel Register'!B92="","",'Reel Register'!B92)</f>
        <v/>
      </c>
      <c r="C92" s="23" t="str">
        <f>IF('Reel Register'!B92="","",'Reel Register'!C92)</f>
        <v/>
      </c>
      <c r="D92" s="23" t="str">
        <f>IF('Reel Register'!B92="","",'Reel Register'!D92)</f>
        <v/>
      </c>
      <c r="E92" s="23" t="str">
        <f>IF('Reel Register'!B92="","",'Reel Register'!G92)</f>
        <v/>
      </c>
      <c r="F92" s="23" t="str">
        <f>IF('Reel Register'!B92="","",'Reel Register'!E92)</f>
        <v/>
      </c>
      <c r="G92" s="23" t="str">
        <f>IF('Reel Register'!B92="","",'Reel Register'!F92)</f>
        <v/>
      </c>
      <c r="H92" s="23" t="str">
        <f>IF('Reel Register'!B92="","",'Reel Register'!I92)</f>
        <v/>
      </c>
      <c r="I92" s="21" t="str">
        <f>IF('Reel Register'!B92="","",'Reel Register'!L92)</f>
        <v/>
      </c>
      <c r="J92" s="23" t="str">
        <f>IF('Reel Register'!B92="","",'Reel Register'!N92)</f>
        <v/>
      </c>
      <c r="K92" s="24"/>
      <c r="L92" s="24"/>
      <c r="M92" s="24"/>
    </row>
    <row r="93" spans="1:13" x14ac:dyDescent="0.45">
      <c r="A93" s="15" t="str">
        <f>IF('Reel Register'!B93="","",ROW()-3)</f>
        <v/>
      </c>
      <c r="B93" s="23" t="str">
        <f>IF('Reel Register'!B93="","",'Reel Register'!B93)</f>
        <v/>
      </c>
      <c r="C93" s="23" t="str">
        <f>IF('Reel Register'!B93="","",'Reel Register'!C93)</f>
        <v/>
      </c>
      <c r="D93" s="23" t="str">
        <f>IF('Reel Register'!B93="","",'Reel Register'!D93)</f>
        <v/>
      </c>
      <c r="E93" s="23" t="str">
        <f>IF('Reel Register'!B93="","",'Reel Register'!G93)</f>
        <v/>
      </c>
      <c r="F93" s="23" t="str">
        <f>IF('Reel Register'!B93="","",'Reel Register'!E93)</f>
        <v/>
      </c>
      <c r="G93" s="23" t="str">
        <f>IF('Reel Register'!B93="","",'Reel Register'!F93)</f>
        <v/>
      </c>
      <c r="H93" s="23" t="str">
        <f>IF('Reel Register'!B93="","",'Reel Register'!I93)</f>
        <v/>
      </c>
      <c r="I93" s="21" t="str">
        <f>IF('Reel Register'!B93="","",'Reel Register'!L93)</f>
        <v/>
      </c>
      <c r="J93" s="23" t="str">
        <f>IF('Reel Register'!B93="","",'Reel Register'!N93)</f>
        <v/>
      </c>
      <c r="K93" s="24"/>
      <c r="L93" s="24"/>
      <c r="M93" s="24"/>
    </row>
    <row r="94" spans="1:13" x14ac:dyDescent="0.45">
      <c r="A94" s="15" t="str">
        <f>IF('Reel Register'!B94="","",ROW()-3)</f>
        <v/>
      </c>
      <c r="B94" s="23" t="str">
        <f>IF('Reel Register'!B94="","",'Reel Register'!B94)</f>
        <v/>
      </c>
      <c r="C94" s="23" t="str">
        <f>IF('Reel Register'!B94="","",'Reel Register'!C94)</f>
        <v/>
      </c>
      <c r="D94" s="23" t="str">
        <f>IF('Reel Register'!B94="","",'Reel Register'!D94)</f>
        <v/>
      </c>
      <c r="E94" s="23" t="str">
        <f>IF('Reel Register'!B94="","",'Reel Register'!G94)</f>
        <v/>
      </c>
      <c r="F94" s="23" t="str">
        <f>IF('Reel Register'!B94="","",'Reel Register'!E94)</f>
        <v/>
      </c>
      <c r="G94" s="23" t="str">
        <f>IF('Reel Register'!B94="","",'Reel Register'!F94)</f>
        <v/>
      </c>
      <c r="H94" s="23" t="str">
        <f>IF('Reel Register'!B94="","",'Reel Register'!I94)</f>
        <v/>
      </c>
      <c r="I94" s="21" t="str">
        <f>IF('Reel Register'!B94="","",'Reel Register'!L94)</f>
        <v/>
      </c>
      <c r="J94" s="23" t="str">
        <f>IF('Reel Register'!B94="","",'Reel Register'!N94)</f>
        <v/>
      </c>
      <c r="K94" s="24"/>
      <c r="L94" s="24"/>
      <c r="M94" s="24"/>
    </row>
    <row r="95" spans="1:13" x14ac:dyDescent="0.45">
      <c r="A95" s="15" t="str">
        <f>IF('Reel Register'!B95="","",ROW()-3)</f>
        <v/>
      </c>
      <c r="B95" s="23" t="str">
        <f>IF('Reel Register'!B95="","",'Reel Register'!B95)</f>
        <v/>
      </c>
      <c r="C95" s="23" t="str">
        <f>IF('Reel Register'!B95="","",'Reel Register'!C95)</f>
        <v/>
      </c>
      <c r="D95" s="23" t="str">
        <f>IF('Reel Register'!B95="","",'Reel Register'!D95)</f>
        <v/>
      </c>
      <c r="E95" s="23" t="str">
        <f>IF('Reel Register'!B95="","",'Reel Register'!G95)</f>
        <v/>
      </c>
      <c r="F95" s="23" t="str">
        <f>IF('Reel Register'!B95="","",'Reel Register'!E95)</f>
        <v/>
      </c>
      <c r="G95" s="23" t="str">
        <f>IF('Reel Register'!B95="","",'Reel Register'!F95)</f>
        <v/>
      </c>
      <c r="H95" s="23" t="str">
        <f>IF('Reel Register'!B95="","",'Reel Register'!I95)</f>
        <v/>
      </c>
      <c r="I95" s="21" t="str">
        <f>IF('Reel Register'!B95="","",'Reel Register'!L95)</f>
        <v/>
      </c>
      <c r="J95" s="23" t="str">
        <f>IF('Reel Register'!B95="","",'Reel Register'!N95)</f>
        <v/>
      </c>
      <c r="K95" s="24"/>
      <c r="L95" s="24"/>
      <c r="M95" s="24"/>
    </row>
    <row r="96" spans="1:13" x14ac:dyDescent="0.45">
      <c r="A96" s="15" t="str">
        <f>IF('Reel Register'!B96="","",ROW()-3)</f>
        <v/>
      </c>
      <c r="B96" s="23" t="str">
        <f>IF('Reel Register'!B96="","",'Reel Register'!B96)</f>
        <v/>
      </c>
      <c r="C96" s="23" t="str">
        <f>IF('Reel Register'!B96="","",'Reel Register'!C96)</f>
        <v/>
      </c>
      <c r="D96" s="23" t="str">
        <f>IF('Reel Register'!B96="","",'Reel Register'!D96)</f>
        <v/>
      </c>
      <c r="E96" s="23" t="str">
        <f>IF('Reel Register'!B96="","",'Reel Register'!G96)</f>
        <v/>
      </c>
      <c r="F96" s="23" t="str">
        <f>IF('Reel Register'!B96="","",'Reel Register'!E96)</f>
        <v/>
      </c>
      <c r="G96" s="23" t="str">
        <f>IF('Reel Register'!B96="","",'Reel Register'!F96)</f>
        <v/>
      </c>
      <c r="H96" s="23" t="str">
        <f>IF('Reel Register'!B96="","",'Reel Register'!I96)</f>
        <v/>
      </c>
      <c r="I96" s="21" t="str">
        <f>IF('Reel Register'!B96="","",'Reel Register'!L96)</f>
        <v/>
      </c>
      <c r="J96" s="23" t="str">
        <f>IF('Reel Register'!B96="","",'Reel Register'!N96)</f>
        <v/>
      </c>
      <c r="K96" s="24"/>
      <c r="L96" s="24"/>
      <c r="M96" s="24"/>
    </row>
    <row r="97" spans="1:13" x14ac:dyDescent="0.45">
      <c r="A97" s="15" t="str">
        <f>IF('Reel Register'!B97="","",ROW()-3)</f>
        <v/>
      </c>
      <c r="B97" s="23" t="str">
        <f>IF('Reel Register'!B97="","",'Reel Register'!B97)</f>
        <v/>
      </c>
      <c r="C97" s="23" t="str">
        <f>IF('Reel Register'!B97="","",'Reel Register'!C97)</f>
        <v/>
      </c>
      <c r="D97" s="23" t="str">
        <f>IF('Reel Register'!B97="","",'Reel Register'!D97)</f>
        <v/>
      </c>
      <c r="E97" s="23" t="str">
        <f>IF('Reel Register'!B97="","",'Reel Register'!G97)</f>
        <v/>
      </c>
      <c r="F97" s="23" t="str">
        <f>IF('Reel Register'!B97="","",'Reel Register'!E97)</f>
        <v/>
      </c>
      <c r="G97" s="23" t="str">
        <f>IF('Reel Register'!B97="","",'Reel Register'!F97)</f>
        <v/>
      </c>
      <c r="H97" s="23" t="str">
        <f>IF('Reel Register'!B97="","",'Reel Register'!I97)</f>
        <v/>
      </c>
      <c r="I97" s="21" t="str">
        <f>IF('Reel Register'!B97="","",'Reel Register'!L97)</f>
        <v/>
      </c>
      <c r="J97" s="23" t="str">
        <f>IF('Reel Register'!B97="","",'Reel Register'!N97)</f>
        <v/>
      </c>
      <c r="K97" s="24"/>
      <c r="L97" s="24"/>
      <c r="M97" s="24"/>
    </row>
    <row r="98" spans="1:13" x14ac:dyDescent="0.45">
      <c r="A98" s="15" t="str">
        <f>IF('Reel Register'!B98="","",ROW()-3)</f>
        <v/>
      </c>
      <c r="B98" s="23" t="str">
        <f>IF('Reel Register'!B98="","",'Reel Register'!B98)</f>
        <v/>
      </c>
      <c r="C98" s="23" t="str">
        <f>IF('Reel Register'!B98="","",'Reel Register'!C98)</f>
        <v/>
      </c>
      <c r="D98" s="23" t="str">
        <f>IF('Reel Register'!B98="","",'Reel Register'!D98)</f>
        <v/>
      </c>
      <c r="E98" s="23" t="str">
        <f>IF('Reel Register'!B98="","",'Reel Register'!G98)</f>
        <v/>
      </c>
      <c r="F98" s="23" t="str">
        <f>IF('Reel Register'!B98="","",'Reel Register'!E98)</f>
        <v/>
      </c>
      <c r="G98" s="23" t="str">
        <f>IF('Reel Register'!B98="","",'Reel Register'!F98)</f>
        <v/>
      </c>
      <c r="H98" s="23" t="str">
        <f>IF('Reel Register'!B98="","",'Reel Register'!I98)</f>
        <v/>
      </c>
      <c r="I98" s="21" t="str">
        <f>IF('Reel Register'!B98="","",'Reel Register'!L98)</f>
        <v/>
      </c>
      <c r="J98" s="23" t="str">
        <f>IF('Reel Register'!B98="","",'Reel Register'!N98)</f>
        <v/>
      </c>
      <c r="K98" s="24"/>
      <c r="L98" s="24"/>
      <c r="M98" s="24"/>
    </row>
    <row r="99" spans="1:13" x14ac:dyDescent="0.45">
      <c r="A99" s="15" t="str">
        <f>IF('Reel Register'!B99="","",ROW()-3)</f>
        <v/>
      </c>
      <c r="B99" s="23" t="str">
        <f>IF('Reel Register'!B99="","",'Reel Register'!B99)</f>
        <v/>
      </c>
      <c r="C99" s="23" t="str">
        <f>IF('Reel Register'!B99="","",'Reel Register'!C99)</f>
        <v/>
      </c>
      <c r="D99" s="23" t="str">
        <f>IF('Reel Register'!B99="","",'Reel Register'!D99)</f>
        <v/>
      </c>
      <c r="E99" s="23" t="str">
        <f>IF('Reel Register'!B99="","",'Reel Register'!G99)</f>
        <v/>
      </c>
      <c r="F99" s="23" t="str">
        <f>IF('Reel Register'!B99="","",'Reel Register'!E99)</f>
        <v/>
      </c>
      <c r="G99" s="23" t="str">
        <f>IF('Reel Register'!B99="","",'Reel Register'!F99)</f>
        <v/>
      </c>
      <c r="H99" s="23" t="str">
        <f>IF('Reel Register'!B99="","",'Reel Register'!I99)</f>
        <v/>
      </c>
      <c r="I99" s="21" t="str">
        <f>IF('Reel Register'!B99="","",'Reel Register'!L99)</f>
        <v/>
      </c>
      <c r="J99" s="23" t="str">
        <f>IF('Reel Register'!B99="","",'Reel Register'!N99)</f>
        <v/>
      </c>
      <c r="K99" s="24"/>
      <c r="L99" s="24"/>
      <c r="M99" s="24"/>
    </row>
    <row r="100" spans="1:13" x14ac:dyDescent="0.45">
      <c r="A100" s="15" t="str">
        <f>IF('Reel Register'!B100="","",ROW()-3)</f>
        <v/>
      </c>
      <c r="B100" s="23" t="str">
        <f>IF('Reel Register'!B100="","",'Reel Register'!B100)</f>
        <v/>
      </c>
      <c r="C100" s="23" t="str">
        <f>IF('Reel Register'!B100="","",'Reel Register'!C100)</f>
        <v/>
      </c>
      <c r="D100" s="23" t="str">
        <f>IF('Reel Register'!B100="","",'Reel Register'!D100)</f>
        <v/>
      </c>
      <c r="E100" s="23" t="str">
        <f>IF('Reel Register'!B100="","",'Reel Register'!G100)</f>
        <v/>
      </c>
      <c r="F100" s="23" t="str">
        <f>IF('Reel Register'!B100="","",'Reel Register'!E100)</f>
        <v/>
      </c>
      <c r="G100" s="23" t="str">
        <f>IF('Reel Register'!B100="","",'Reel Register'!F100)</f>
        <v/>
      </c>
      <c r="H100" s="23" t="str">
        <f>IF('Reel Register'!B100="","",'Reel Register'!I100)</f>
        <v/>
      </c>
      <c r="I100" s="21" t="str">
        <f>IF('Reel Register'!B100="","",'Reel Register'!L100)</f>
        <v/>
      </c>
      <c r="J100" s="23" t="str">
        <f>IF('Reel Register'!B100="","",'Reel Register'!N100)</f>
        <v/>
      </c>
      <c r="K100" s="24"/>
      <c r="L100" s="24"/>
      <c r="M100" s="24"/>
    </row>
    <row r="101" spans="1:13" x14ac:dyDescent="0.45">
      <c r="A101" s="15" t="str">
        <f>IF('Reel Register'!B101="","",ROW()-3)</f>
        <v/>
      </c>
      <c r="B101" s="23" t="str">
        <f>IF('Reel Register'!B101="","",'Reel Register'!B101)</f>
        <v/>
      </c>
      <c r="C101" s="23" t="str">
        <f>IF('Reel Register'!B101="","",'Reel Register'!C101)</f>
        <v/>
      </c>
      <c r="D101" s="23" t="str">
        <f>IF('Reel Register'!B101="","",'Reel Register'!D101)</f>
        <v/>
      </c>
      <c r="E101" s="23" t="str">
        <f>IF('Reel Register'!B101="","",'Reel Register'!G101)</f>
        <v/>
      </c>
      <c r="F101" s="23" t="str">
        <f>IF('Reel Register'!B101="","",'Reel Register'!E101)</f>
        <v/>
      </c>
      <c r="G101" s="23" t="str">
        <f>IF('Reel Register'!B101="","",'Reel Register'!F101)</f>
        <v/>
      </c>
      <c r="H101" s="23" t="str">
        <f>IF('Reel Register'!B101="","",'Reel Register'!I101)</f>
        <v/>
      </c>
      <c r="I101" s="21" t="str">
        <f>IF('Reel Register'!B101="","",'Reel Register'!L101)</f>
        <v/>
      </c>
      <c r="J101" s="23" t="str">
        <f>IF('Reel Register'!B101="","",'Reel Register'!N101)</f>
        <v/>
      </c>
      <c r="K101" s="24"/>
      <c r="L101" s="24"/>
      <c r="M101" s="24"/>
    </row>
    <row r="102" spans="1:13" x14ac:dyDescent="0.45">
      <c r="A102" s="15" t="str">
        <f>IF('Reel Register'!B102="","",ROW()-3)</f>
        <v/>
      </c>
      <c r="B102" s="23" t="str">
        <f>IF('Reel Register'!B102="","",'Reel Register'!B102)</f>
        <v/>
      </c>
      <c r="C102" s="23" t="str">
        <f>IF('Reel Register'!B102="","",'Reel Register'!C102)</f>
        <v/>
      </c>
      <c r="D102" s="23" t="str">
        <f>IF('Reel Register'!B102="","",'Reel Register'!D102)</f>
        <v/>
      </c>
      <c r="E102" s="23" t="str">
        <f>IF('Reel Register'!B102="","",'Reel Register'!G102)</f>
        <v/>
      </c>
      <c r="F102" s="23" t="str">
        <f>IF('Reel Register'!B102="","",'Reel Register'!E102)</f>
        <v/>
      </c>
      <c r="G102" s="23" t="str">
        <f>IF('Reel Register'!B102="","",'Reel Register'!F102)</f>
        <v/>
      </c>
      <c r="H102" s="23" t="str">
        <f>IF('Reel Register'!B102="","",'Reel Register'!I102)</f>
        <v/>
      </c>
      <c r="I102" s="21" t="str">
        <f>IF('Reel Register'!B102="","",'Reel Register'!L102)</f>
        <v/>
      </c>
      <c r="J102" s="23" t="str">
        <f>IF('Reel Register'!B102="","",'Reel Register'!N102)</f>
        <v/>
      </c>
      <c r="K102" s="24"/>
      <c r="L102" s="24"/>
      <c r="M102" s="24"/>
    </row>
    <row r="103" spans="1:13" x14ac:dyDescent="0.45">
      <c r="A103" s="15" t="str">
        <f>IF('Reel Register'!B103="","",ROW()-3)</f>
        <v/>
      </c>
      <c r="B103" s="23" t="str">
        <f>IF('Reel Register'!B103="","",'Reel Register'!B103)</f>
        <v/>
      </c>
      <c r="C103" s="23" t="str">
        <f>IF('Reel Register'!B103="","",'Reel Register'!C103)</f>
        <v/>
      </c>
      <c r="D103" s="23" t="str">
        <f>IF('Reel Register'!B103="","",'Reel Register'!D103)</f>
        <v/>
      </c>
      <c r="E103" s="23" t="str">
        <f>IF('Reel Register'!B103="","",'Reel Register'!G103)</f>
        <v/>
      </c>
      <c r="F103" s="23" t="str">
        <f>IF('Reel Register'!B103="","",'Reel Register'!E103)</f>
        <v/>
      </c>
      <c r="G103" s="23" t="str">
        <f>IF('Reel Register'!B103="","",'Reel Register'!F103)</f>
        <v/>
      </c>
      <c r="H103" s="23" t="str">
        <f>IF('Reel Register'!B103="","",'Reel Register'!I103)</f>
        <v/>
      </c>
      <c r="I103" s="21" t="str">
        <f>IF('Reel Register'!B103="","",'Reel Register'!L103)</f>
        <v/>
      </c>
      <c r="J103" s="23" t="str">
        <f>IF('Reel Register'!B103="","",'Reel Register'!N103)</f>
        <v/>
      </c>
      <c r="K103" s="24"/>
      <c r="L103" s="24"/>
      <c r="M103" s="24"/>
    </row>
    <row r="104" spans="1:13" x14ac:dyDescent="0.45">
      <c r="A104" s="15" t="str">
        <f>IF('Reel Register'!B104="","",ROW()-3)</f>
        <v/>
      </c>
      <c r="B104" s="23" t="str">
        <f>IF('Reel Register'!B104="","",'Reel Register'!B104)</f>
        <v/>
      </c>
      <c r="C104" s="23" t="str">
        <f>IF('Reel Register'!B104="","",'Reel Register'!C104)</f>
        <v/>
      </c>
      <c r="D104" s="23" t="str">
        <f>IF('Reel Register'!B104="","",'Reel Register'!D104)</f>
        <v/>
      </c>
      <c r="E104" s="23" t="str">
        <f>IF('Reel Register'!B104="","",'Reel Register'!G104)</f>
        <v/>
      </c>
      <c r="F104" s="23" t="str">
        <f>IF('Reel Register'!B104="","",'Reel Register'!E104)</f>
        <v/>
      </c>
      <c r="G104" s="23" t="str">
        <f>IF('Reel Register'!B104="","",'Reel Register'!F104)</f>
        <v/>
      </c>
      <c r="H104" s="23" t="str">
        <f>IF('Reel Register'!B104="","",'Reel Register'!I104)</f>
        <v/>
      </c>
      <c r="I104" s="21" t="str">
        <f>IF('Reel Register'!B104="","",'Reel Register'!L104)</f>
        <v/>
      </c>
      <c r="J104" s="23" t="str">
        <f>IF('Reel Register'!B104="","",'Reel Register'!N104)</f>
        <v/>
      </c>
      <c r="K104" s="24"/>
      <c r="L104" s="24"/>
      <c r="M104" s="24"/>
    </row>
    <row r="105" spans="1:13" x14ac:dyDescent="0.45">
      <c r="A105" s="15" t="str">
        <f>IF('Reel Register'!B105="","",ROW()-3)</f>
        <v/>
      </c>
      <c r="B105" s="23" t="str">
        <f>IF('Reel Register'!B105="","",'Reel Register'!B105)</f>
        <v/>
      </c>
      <c r="C105" s="23" t="str">
        <f>IF('Reel Register'!B105="","",'Reel Register'!C105)</f>
        <v/>
      </c>
      <c r="D105" s="23" t="str">
        <f>IF('Reel Register'!B105="","",'Reel Register'!D105)</f>
        <v/>
      </c>
      <c r="E105" s="23" t="str">
        <f>IF('Reel Register'!B105="","",'Reel Register'!G105)</f>
        <v/>
      </c>
      <c r="F105" s="23" t="str">
        <f>IF('Reel Register'!B105="","",'Reel Register'!E105)</f>
        <v/>
      </c>
      <c r="G105" s="23" t="str">
        <f>IF('Reel Register'!B105="","",'Reel Register'!F105)</f>
        <v/>
      </c>
      <c r="H105" s="23" t="str">
        <f>IF('Reel Register'!B105="","",'Reel Register'!I105)</f>
        <v/>
      </c>
      <c r="I105" s="21" t="str">
        <f>IF('Reel Register'!B105="","",'Reel Register'!L105)</f>
        <v/>
      </c>
      <c r="J105" s="23" t="str">
        <f>IF('Reel Register'!B105="","",'Reel Register'!N105)</f>
        <v/>
      </c>
      <c r="K105" s="24"/>
      <c r="L105" s="24"/>
      <c r="M105" s="24"/>
    </row>
    <row r="106" spans="1:13" x14ac:dyDescent="0.45">
      <c r="A106" s="15" t="str">
        <f>IF('Reel Register'!B106="","",ROW()-3)</f>
        <v/>
      </c>
      <c r="B106" s="23" t="str">
        <f>IF('Reel Register'!B106="","",'Reel Register'!B106)</f>
        <v/>
      </c>
      <c r="C106" s="23" t="str">
        <f>IF('Reel Register'!B106="","",'Reel Register'!C106)</f>
        <v/>
      </c>
      <c r="D106" s="23" t="str">
        <f>IF('Reel Register'!B106="","",'Reel Register'!D106)</f>
        <v/>
      </c>
      <c r="E106" s="23" t="str">
        <f>IF('Reel Register'!B106="","",'Reel Register'!G106)</f>
        <v/>
      </c>
      <c r="F106" s="23" t="str">
        <f>IF('Reel Register'!B106="","",'Reel Register'!E106)</f>
        <v/>
      </c>
      <c r="G106" s="23" t="str">
        <f>IF('Reel Register'!B106="","",'Reel Register'!F106)</f>
        <v/>
      </c>
      <c r="H106" s="23" t="str">
        <f>IF('Reel Register'!B106="","",'Reel Register'!I106)</f>
        <v/>
      </c>
      <c r="I106" s="21" t="str">
        <f>IF('Reel Register'!B106="","",'Reel Register'!L106)</f>
        <v/>
      </c>
      <c r="J106" s="23" t="str">
        <f>IF('Reel Register'!B106="","",'Reel Register'!N106)</f>
        <v/>
      </c>
      <c r="K106" s="24"/>
      <c r="L106" s="24"/>
      <c r="M106" s="24"/>
    </row>
    <row r="107" spans="1:13" x14ac:dyDescent="0.45">
      <c r="A107" s="15" t="str">
        <f>IF('Reel Register'!B107="","",ROW()-3)</f>
        <v/>
      </c>
      <c r="B107" s="23" t="str">
        <f>IF('Reel Register'!B107="","",'Reel Register'!B107)</f>
        <v/>
      </c>
      <c r="C107" s="23" t="str">
        <f>IF('Reel Register'!B107="","",'Reel Register'!C107)</f>
        <v/>
      </c>
      <c r="D107" s="23" t="str">
        <f>IF('Reel Register'!B107="","",'Reel Register'!D107)</f>
        <v/>
      </c>
      <c r="E107" s="23" t="str">
        <f>IF('Reel Register'!B107="","",'Reel Register'!G107)</f>
        <v/>
      </c>
      <c r="F107" s="23" t="str">
        <f>IF('Reel Register'!B107="","",'Reel Register'!E107)</f>
        <v/>
      </c>
      <c r="G107" s="23" t="str">
        <f>IF('Reel Register'!B107="","",'Reel Register'!F107)</f>
        <v/>
      </c>
      <c r="H107" s="23" t="str">
        <f>IF('Reel Register'!B107="","",'Reel Register'!I107)</f>
        <v/>
      </c>
      <c r="I107" s="21" t="str">
        <f>IF('Reel Register'!B107="","",'Reel Register'!L107)</f>
        <v/>
      </c>
      <c r="J107" s="23" t="str">
        <f>IF('Reel Register'!B107="","",'Reel Register'!N107)</f>
        <v/>
      </c>
      <c r="K107" s="24"/>
      <c r="L107" s="24"/>
      <c r="M107" s="24"/>
    </row>
    <row r="108" spans="1:13" x14ac:dyDescent="0.45">
      <c r="A108" s="15" t="str">
        <f>IF('Reel Register'!B108="","",ROW()-3)</f>
        <v/>
      </c>
      <c r="B108" s="23" t="str">
        <f>IF('Reel Register'!B108="","",'Reel Register'!B108)</f>
        <v/>
      </c>
      <c r="C108" s="23" t="str">
        <f>IF('Reel Register'!B108="","",'Reel Register'!C108)</f>
        <v/>
      </c>
      <c r="D108" s="23" t="str">
        <f>IF('Reel Register'!B108="","",'Reel Register'!D108)</f>
        <v/>
      </c>
      <c r="E108" s="23" t="str">
        <f>IF('Reel Register'!B108="","",'Reel Register'!G108)</f>
        <v/>
      </c>
      <c r="F108" s="23" t="str">
        <f>IF('Reel Register'!B108="","",'Reel Register'!E108)</f>
        <v/>
      </c>
      <c r="G108" s="23" t="str">
        <f>IF('Reel Register'!B108="","",'Reel Register'!F108)</f>
        <v/>
      </c>
      <c r="H108" s="23" t="str">
        <f>IF('Reel Register'!B108="","",'Reel Register'!I108)</f>
        <v/>
      </c>
      <c r="I108" s="21" t="str">
        <f>IF('Reel Register'!B108="","",'Reel Register'!L108)</f>
        <v/>
      </c>
      <c r="J108" s="23" t="str">
        <f>IF('Reel Register'!B108="","",'Reel Register'!N108)</f>
        <v/>
      </c>
      <c r="K108" s="24"/>
      <c r="L108" s="24"/>
      <c r="M108" s="24"/>
    </row>
    <row r="109" spans="1:13" x14ac:dyDescent="0.45">
      <c r="A109" s="15" t="str">
        <f>IF('Reel Register'!B109="","",ROW()-3)</f>
        <v/>
      </c>
      <c r="B109" s="23" t="str">
        <f>IF('Reel Register'!B109="","",'Reel Register'!B109)</f>
        <v/>
      </c>
      <c r="C109" s="23" t="str">
        <f>IF('Reel Register'!B109="","",'Reel Register'!C109)</f>
        <v/>
      </c>
      <c r="D109" s="23" t="str">
        <f>IF('Reel Register'!B109="","",'Reel Register'!D109)</f>
        <v/>
      </c>
      <c r="E109" s="23" t="str">
        <f>IF('Reel Register'!B109="","",'Reel Register'!G109)</f>
        <v/>
      </c>
      <c r="F109" s="23" t="str">
        <f>IF('Reel Register'!B109="","",'Reel Register'!E109)</f>
        <v/>
      </c>
      <c r="G109" s="23" t="str">
        <f>IF('Reel Register'!B109="","",'Reel Register'!F109)</f>
        <v/>
      </c>
      <c r="H109" s="23" t="str">
        <f>IF('Reel Register'!B109="","",'Reel Register'!I109)</f>
        <v/>
      </c>
      <c r="I109" s="21" t="str">
        <f>IF('Reel Register'!B109="","",'Reel Register'!L109)</f>
        <v/>
      </c>
      <c r="J109" s="23" t="str">
        <f>IF('Reel Register'!B109="","",'Reel Register'!N109)</f>
        <v/>
      </c>
      <c r="K109" s="24"/>
      <c r="L109" s="24"/>
      <c r="M109" s="24"/>
    </row>
    <row r="110" spans="1:13" x14ac:dyDescent="0.45">
      <c r="A110" s="15" t="str">
        <f>IF('Reel Register'!B110="","",ROW()-3)</f>
        <v/>
      </c>
      <c r="B110" s="23" t="str">
        <f>IF('Reel Register'!B110="","",'Reel Register'!B110)</f>
        <v/>
      </c>
      <c r="C110" s="23" t="str">
        <f>IF('Reel Register'!B110="","",'Reel Register'!C110)</f>
        <v/>
      </c>
      <c r="D110" s="23" t="str">
        <f>IF('Reel Register'!B110="","",'Reel Register'!D110)</f>
        <v/>
      </c>
      <c r="E110" s="23" t="str">
        <f>IF('Reel Register'!B110="","",'Reel Register'!G110)</f>
        <v/>
      </c>
      <c r="F110" s="23" t="str">
        <f>IF('Reel Register'!B110="","",'Reel Register'!E110)</f>
        <v/>
      </c>
      <c r="G110" s="23" t="str">
        <f>IF('Reel Register'!B110="","",'Reel Register'!F110)</f>
        <v/>
      </c>
      <c r="H110" s="23" t="str">
        <f>IF('Reel Register'!B110="","",'Reel Register'!I110)</f>
        <v/>
      </c>
      <c r="I110" s="21" t="str">
        <f>IF('Reel Register'!B110="","",'Reel Register'!L110)</f>
        <v/>
      </c>
      <c r="J110" s="23" t="str">
        <f>IF('Reel Register'!B110="","",'Reel Register'!N110)</f>
        <v/>
      </c>
      <c r="K110" s="24"/>
      <c r="L110" s="24"/>
      <c r="M110" s="24"/>
    </row>
    <row r="111" spans="1:13" x14ac:dyDescent="0.45">
      <c r="A111" s="15" t="str">
        <f>IF('Reel Register'!B111="","",ROW()-3)</f>
        <v/>
      </c>
      <c r="B111" s="23" t="str">
        <f>IF('Reel Register'!B111="","",'Reel Register'!B111)</f>
        <v/>
      </c>
      <c r="C111" s="23" t="str">
        <f>IF('Reel Register'!B111="","",'Reel Register'!C111)</f>
        <v/>
      </c>
      <c r="D111" s="23" t="str">
        <f>IF('Reel Register'!B111="","",'Reel Register'!D111)</f>
        <v/>
      </c>
      <c r="E111" s="23" t="str">
        <f>IF('Reel Register'!B111="","",'Reel Register'!G111)</f>
        <v/>
      </c>
      <c r="F111" s="23" t="str">
        <f>IF('Reel Register'!B111="","",'Reel Register'!E111)</f>
        <v/>
      </c>
      <c r="G111" s="23" t="str">
        <f>IF('Reel Register'!B111="","",'Reel Register'!F111)</f>
        <v/>
      </c>
      <c r="H111" s="23" t="str">
        <f>IF('Reel Register'!B111="","",'Reel Register'!I111)</f>
        <v/>
      </c>
      <c r="I111" s="21" t="str">
        <f>IF('Reel Register'!B111="","",'Reel Register'!L111)</f>
        <v/>
      </c>
      <c r="J111" s="23" t="str">
        <f>IF('Reel Register'!B111="","",'Reel Register'!N111)</f>
        <v/>
      </c>
      <c r="K111" s="24"/>
      <c r="L111" s="24"/>
      <c r="M111" s="24"/>
    </row>
    <row r="112" spans="1:13" x14ac:dyDescent="0.45">
      <c r="A112" s="15" t="str">
        <f>IF('Reel Register'!B112="","",ROW()-3)</f>
        <v/>
      </c>
      <c r="B112" s="23" t="str">
        <f>IF('Reel Register'!B112="","",'Reel Register'!B112)</f>
        <v/>
      </c>
      <c r="C112" s="23" t="str">
        <f>IF('Reel Register'!B112="","",'Reel Register'!C112)</f>
        <v/>
      </c>
      <c r="D112" s="23" t="str">
        <f>IF('Reel Register'!B112="","",'Reel Register'!D112)</f>
        <v/>
      </c>
      <c r="E112" s="23" t="str">
        <f>IF('Reel Register'!B112="","",'Reel Register'!G112)</f>
        <v/>
      </c>
      <c r="F112" s="23" t="str">
        <f>IF('Reel Register'!B112="","",'Reel Register'!E112)</f>
        <v/>
      </c>
      <c r="G112" s="23" t="str">
        <f>IF('Reel Register'!B112="","",'Reel Register'!F112)</f>
        <v/>
      </c>
      <c r="H112" s="23" t="str">
        <f>IF('Reel Register'!B112="","",'Reel Register'!I112)</f>
        <v/>
      </c>
      <c r="I112" s="21" t="str">
        <f>IF('Reel Register'!B112="","",'Reel Register'!L112)</f>
        <v/>
      </c>
      <c r="J112" s="23" t="str">
        <f>IF('Reel Register'!B112="","",'Reel Register'!N112)</f>
        <v/>
      </c>
      <c r="K112" s="24"/>
      <c r="L112" s="24"/>
      <c r="M112" s="24"/>
    </row>
    <row r="113" spans="1:13" x14ac:dyDescent="0.45">
      <c r="A113" s="15" t="str">
        <f>IF('Reel Register'!B113="","",ROW()-3)</f>
        <v/>
      </c>
      <c r="B113" s="23" t="str">
        <f>IF('Reel Register'!B113="","",'Reel Register'!B113)</f>
        <v/>
      </c>
      <c r="C113" s="23" t="str">
        <f>IF('Reel Register'!B113="","",'Reel Register'!C113)</f>
        <v/>
      </c>
      <c r="D113" s="23" t="str">
        <f>IF('Reel Register'!B113="","",'Reel Register'!D113)</f>
        <v/>
      </c>
      <c r="E113" s="23" t="str">
        <f>IF('Reel Register'!B113="","",'Reel Register'!G113)</f>
        <v/>
      </c>
      <c r="F113" s="23" t="str">
        <f>IF('Reel Register'!B113="","",'Reel Register'!E113)</f>
        <v/>
      </c>
      <c r="G113" s="23" t="str">
        <f>IF('Reel Register'!B113="","",'Reel Register'!F113)</f>
        <v/>
      </c>
      <c r="H113" s="23" t="str">
        <f>IF('Reel Register'!B113="","",'Reel Register'!I113)</f>
        <v/>
      </c>
      <c r="I113" s="21" t="str">
        <f>IF('Reel Register'!B113="","",'Reel Register'!L113)</f>
        <v/>
      </c>
      <c r="J113" s="23" t="str">
        <f>IF('Reel Register'!B113="","",'Reel Register'!N113)</f>
        <v/>
      </c>
      <c r="K113" s="24"/>
      <c r="L113" s="24"/>
      <c r="M113" s="24"/>
    </row>
    <row r="114" spans="1:13" x14ac:dyDescent="0.45">
      <c r="A114" s="15" t="str">
        <f>IF('Reel Register'!B114="","",ROW()-3)</f>
        <v/>
      </c>
      <c r="B114" s="23" t="str">
        <f>IF('Reel Register'!B114="","",'Reel Register'!B114)</f>
        <v/>
      </c>
      <c r="C114" s="23" t="str">
        <f>IF('Reel Register'!B114="","",'Reel Register'!C114)</f>
        <v/>
      </c>
      <c r="D114" s="23" t="str">
        <f>IF('Reel Register'!B114="","",'Reel Register'!D114)</f>
        <v/>
      </c>
      <c r="E114" s="23" t="str">
        <f>IF('Reel Register'!B114="","",'Reel Register'!G114)</f>
        <v/>
      </c>
      <c r="F114" s="23" t="str">
        <f>IF('Reel Register'!B114="","",'Reel Register'!E114)</f>
        <v/>
      </c>
      <c r="G114" s="23" t="str">
        <f>IF('Reel Register'!B114="","",'Reel Register'!F114)</f>
        <v/>
      </c>
      <c r="H114" s="23" t="str">
        <f>IF('Reel Register'!B114="","",'Reel Register'!I114)</f>
        <v/>
      </c>
      <c r="I114" s="21" t="str">
        <f>IF('Reel Register'!B114="","",'Reel Register'!L114)</f>
        <v/>
      </c>
      <c r="J114" s="23" t="str">
        <f>IF('Reel Register'!B114="","",'Reel Register'!N114)</f>
        <v/>
      </c>
      <c r="K114" s="24"/>
      <c r="L114" s="24"/>
      <c r="M114" s="24"/>
    </row>
    <row r="115" spans="1:13" x14ac:dyDescent="0.45">
      <c r="A115" s="15" t="str">
        <f>IF('Reel Register'!B115="","",ROW()-3)</f>
        <v/>
      </c>
      <c r="B115" s="23" t="str">
        <f>IF('Reel Register'!B115="","",'Reel Register'!B115)</f>
        <v/>
      </c>
      <c r="C115" s="23" t="str">
        <f>IF('Reel Register'!B115="","",'Reel Register'!C115)</f>
        <v/>
      </c>
      <c r="D115" s="23" t="str">
        <f>IF('Reel Register'!B115="","",'Reel Register'!D115)</f>
        <v/>
      </c>
      <c r="E115" s="23" t="str">
        <f>IF('Reel Register'!B115="","",'Reel Register'!G115)</f>
        <v/>
      </c>
      <c r="F115" s="23" t="str">
        <f>IF('Reel Register'!B115="","",'Reel Register'!E115)</f>
        <v/>
      </c>
      <c r="G115" s="23" t="str">
        <f>IF('Reel Register'!B115="","",'Reel Register'!F115)</f>
        <v/>
      </c>
      <c r="H115" s="23" t="str">
        <f>IF('Reel Register'!B115="","",'Reel Register'!I115)</f>
        <v/>
      </c>
      <c r="I115" s="21" t="str">
        <f>IF('Reel Register'!B115="","",'Reel Register'!L115)</f>
        <v/>
      </c>
      <c r="J115" s="23" t="str">
        <f>IF('Reel Register'!B115="","",'Reel Register'!N115)</f>
        <v/>
      </c>
      <c r="K115" s="24"/>
      <c r="L115" s="24"/>
      <c r="M115" s="24"/>
    </row>
    <row r="116" spans="1:13" x14ac:dyDescent="0.45">
      <c r="A116" s="15" t="str">
        <f>IF('Reel Register'!B116="","",ROW()-3)</f>
        <v/>
      </c>
      <c r="B116" s="23" t="str">
        <f>IF('Reel Register'!B116="","",'Reel Register'!B116)</f>
        <v/>
      </c>
      <c r="C116" s="23" t="str">
        <f>IF('Reel Register'!B116="","",'Reel Register'!C116)</f>
        <v/>
      </c>
      <c r="D116" s="23" t="str">
        <f>IF('Reel Register'!B116="","",'Reel Register'!D116)</f>
        <v/>
      </c>
      <c r="E116" s="23" t="str">
        <f>IF('Reel Register'!B116="","",'Reel Register'!G116)</f>
        <v/>
      </c>
      <c r="F116" s="23" t="str">
        <f>IF('Reel Register'!B116="","",'Reel Register'!E116)</f>
        <v/>
      </c>
      <c r="G116" s="23" t="str">
        <f>IF('Reel Register'!B116="","",'Reel Register'!F116)</f>
        <v/>
      </c>
      <c r="H116" s="23" t="str">
        <f>IF('Reel Register'!B116="","",'Reel Register'!I116)</f>
        <v/>
      </c>
      <c r="I116" s="21" t="str">
        <f>IF('Reel Register'!B116="","",'Reel Register'!L116)</f>
        <v/>
      </c>
      <c r="J116" s="23" t="str">
        <f>IF('Reel Register'!B116="","",'Reel Register'!N116)</f>
        <v/>
      </c>
      <c r="K116" s="24"/>
      <c r="L116" s="24"/>
      <c r="M116" s="24"/>
    </row>
    <row r="117" spans="1:13" x14ac:dyDescent="0.45">
      <c r="A117" s="15" t="str">
        <f>IF('Reel Register'!B117="","",ROW()-3)</f>
        <v/>
      </c>
      <c r="B117" s="23" t="str">
        <f>IF('Reel Register'!B117="","",'Reel Register'!B117)</f>
        <v/>
      </c>
      <c r="C117" s="23" t="str">
        <f>IF('Reel Register'!B117="","",'Reel Register'!C117)</f>
        <v/>
      </c>
      <c r="D117" s="23" t="str">
        <f>IF('Reel Register'!B117="","",'Reel Register'!D117)</f>
        <v/>
      </c>
      <c r="E117" s="23" t="str">
        <f>IF('Reel Register'!B117="","",'Reel Register'!G117)</f>
        <v/>
      </c>
      <c r="F117" s="23" t="str">
        <f>IF('Reel Register'!B117="","",'Reel Register'!E117)</f>
        <v/>
      </c>
      <c r="G117" s="23" t="str">
        <f>IF('Reel Register'!B117="","",'Reel Register'!F117)</f>
        <v/>
      </c>
      <c r="H117" s="23" t="str">
        <f>IF('Reel Register'!B117="","",'Reel Register'!I117)</f>
        <v/>
      </c>
      <c r="I117" s="21" t="str">
        <f>IF('Reel Register'!B117="","",'Reel Register'!L117)</f>
        <v/>
      </c>
      <c r="J117" s="23" t="str">
        <f>IF('Reel Register'!B117="","",'Reel Register'!N117)</f>
        <v/>
      </c>
      <c r="K117" s="24"/>
      <c r="L117" s="24"/>
      <c r="M117" s="24"/>
    </row>
    <row r="118" spans="1:13" x14ac:dyDescent="0.45">
      <c r="A118" s="15" t="str">
        <f>IF('Reel Register'!B118="","",ROW()-3)</f>
        <v/>
      </c>
      <c r="B118" s="23" t="str">
        <f>IF('Reel Register'!B118="","",'Reel Register'!B118)</f>
        <v/>
      </c>
      <c r="C118" s="23" t="str">
        <f>IF('Reel Register'!B118="","",'Reel Register'!C118)</f>
        <v/>
      </c>
      <c r="D118" s="23" t="str">
        <f>IF('Reel Register'!B118="","",'Reel Register'!D118)</f>
        <v/>
      </c>
      <c r="E118" s="23" t="str">
        <f>IF('Reel Register'!B118="","",'Reel Register'!G118)</f>
        <v/>
      </c>
      <c r="F118" s="23" t="str">
        <f>IF('Reel Register'!B118="","",'Reel Register'!E118)</f>
        <v/>
      </c>
      <c r="G118" s="23" t="str">
        <f>IF('Reel Register'!B118="","",'Reel Register'!F118)</f>
        <v/>
      </c>
      <c r="H118" s="23" t="str">
        <f>IF('Reel Register'!B118="","",'Reel Register'!I118)</f>
        <v/>
      </c>
      <c r="I118" s="21" t="str">
        <f>IF('Reel Register'!B118="","",'Reel Register'!L118)</f>
        <v/>
      </c>
      <c r="J118" s="23" t="str">
        <f>IF('Reel Register'!B118="","",'Reel Register'!N118)</f>
        <v/>
      </c>
      <c r="K118" s="24"/>
      <c r="L118" s="24"/>
      <c r="M118" s="24"/>
    </row>
    <row r="119" spans="1:13" x14ac:dyDescent="0.45">
      <c r="A119" s="15" t="str">
        <f>IF('Reel Register'!B119="","",ROW()-3)</f>
        <v/>
      </c>
      <c r="B119" s="23" t="str">
        <f>IF('Reel Register'!B119="","",'Reel Register'!B119)</f>
        <v/>
      </c>
      <c r="C119" s="23" t="str">
        <f>IF('Reel Register'!B119="","",'Reel Register'!C119)</f>
        <v/>
      </c>
      <c r="D119" s="23" t="str">
        <f>IF('Reel Register'!B119="","",'Reel Register'!D119)</f>
        <v/>
      </c>
      <c r="E119" s="23" t="str">
        <f>IF('Reel Register'!B119="","",'Reel Register'!G119)</f>
        <v/>
      </c>
      <c r="F119" s="23" t="str">
        <f>IF('Reel Register'!B119="","",'Reel Register'!E119)</f>
        <v/>
      </c>
      <c r="G119" s="23" t="str">
        <f>IF('Reel Register'!B119="","",'Reel Register'!F119)</f>
        <v/>
      </c>
      <c r="H119" s="23" t="str">
        <f>IF('Reel Register'!B119="","",'Reel Register'!I119)</f>
        <v/>
      </c>
      <c r="I119" s="21" t="str">
        <f>IF('Reel Register'!B119="","",'Reel Register'!L119)</f>
        <v/>
      </c>
      <c r="J119" s="23" t="str">
        <f>IF('Reel Register'!B119="","",'Reel Register'!N119)</f>
        <v/>
      </c>
      <c r="K119" s="24"/>
      <c r="L119" s="24"/>
      <c r="M119" s="24"/>
    </row>
    <row r="120" spans="1:13" x14ac:dyDescent="0.45">
      <c r="A120" s="15" t="str">
        <f>IF('Reel Register'!B120="","",ROW()-3)</f>
        <v/>
      </c>
      <c r="B120" s="23" t="str">
        <f>IF('Reel Register'!B120="","",'Reel Register'!B120)</f>
        <v/>
      </c>
      <c r="C120" s="23" t="str">
        <f>IF('Reel Register'!B120="","",'Reel Register'!C120)</f>
        <v/>
      </c>
      <c r="D120" s="23" t="str">
        <f>IF('Reel Register'!B120="","",'Reel Register'!D120)</f>
        <v/>
      </c>
      <c r="E120" s="23" t="str">
        <f>IF('Reel Register'!B120="","",'Reel Register'!G120)</f>
        <v/>
      </c>
      <c r="F120" s="23" t="str">
        <f>IF('Reel Register'!B120="","",'Reel Register'!E120)</f>
        <v/>
      </c>
      <c r="G120" s="23" t="str">
        <f>IF('Reel Register'!B120="","",'Reel Register'!F120)</f>
        <v/>
      </c>
      <c r="H120" s="23" t="str">
        <f>IF('Reel Register'!B120="","",'Reel Register'!I120)</f>
        <v/>
      </c>
      <c r="I120" s="21" t="str">
        <f>IF('Reel Register'!B120="","",'Reel Register'!L120)</f>
        <v/>
      </c>
      <c r="J120" s="23" t="str">
        <f>IF('Reel Register'!B120="","",'Reel Register'!N120)</f>
        <v/>
      </c>
      <c r="K120" s="24"/>
      <c r="L120" s="24"/>
      <c r="M120" s="24"/>
    </row>
    <row r="121" spans="1:13" x14ac:dyDescent="0.45">
      <c r="A121" s="15" t="str">
        <f>IF('Reel Register'!B121="","",ROW()-3)</f>
        <v/>
      </c>
      <c r="B121" s="23" t="str">
        <f>IF('Reel Register'!B121="","",'Reel Register'!B121)</f>
        <v/>
      </c>
      <c r="C121" s="23" t="str">
        <f>IF('Reel Register'!B121="","",'Reel Register'!C121)</f>
        <v/>
      </c>
      <c r="D121" s="23" t="str">
        <f>IF('Reel Register'!B121="","",'Reel Register'!D121)</f>
        <v/>
      </c>
      <c r="E121" s="23" t="str">
        <f>IF('Reel Register'!B121="","",'Reel Register'!G121)</f>
        <v/>
      </c>
      <c r="F121" s="23" t="str">
        <f>IF('Reel Register'!B121="","",'Reel Register'!E121)</f>
        <v/>
      </c>
      <c r="G121" s="23" t="str">
        <f>IF('Reel Register'!B121="","",'Reel Register'!F121)</f>
        <v/>
      </c>
      <c r="H121" s="23" t="str">
        <f>IF('Reel Register'!B121="","",'Reel Register'!I121)</f>
        <v/>
      </c>
      <c r="I121" s="21" t="str">
        <f>IF('Reel Register'!B121="","",'Reel Register'!L121)</f>
        <v/>
      </c>
      <c r="J121" s="23" t="str">
        <f>IF('Reel Register'!B121="","",'Reel Register'!N121)</f>
        <v/>
      </c>
      <c r="K121" s="24"/>
      <c r="L121" s="24"/>
      <c r="M121" s="24"/>
    </row>
    <row r="122" spans="1:13" x14ac:dyDescent="0.45">
      <c r="A122" s="15" t="str">
        <f>IF('Reel Register'!B122="","",ROW()-3)</f>
        <v/>
      </c>
      <c r="B122" s="23" t="str">
        <f>IF('Reel Register'!B122="","",'Reel Register'!B122)</f>
        <v/>
      </c>
      <c r="C122" s="23" t="str">
        <f>IF('Reel Register'!B122="","",'Reel Register'!C122)</f>
        <v/>
      </c>
      <c r="D122" s="23" t="str">
        <f>IF('Reel Register'!B122="","",'Reel Register'!D122)</f>
        <v/>
      </c>
      <c r="E122" s="23" t="str">
        <f>IF('Reel Register'!B122="","",'Reel Register'!G122)</f>
        <v/>
      </c>
      <c r="F122" s="23" t="str">
        <f>IF('Reel Register'!B122="","",'Reel Register'!E122)</f>
        <v/>
      </c>
      <c r="G122" s="23" t="str">
        <f>IF('Reel Register'!B122="","",'Reel Register'!F122)</f>
        <v/>
      </c>
      <c r="H122" s="23" t="str">
        <f>IF('Reel Register'!B122="","",'Reel Register'!I122)</f>
        <v/>
      </c>
      <c r="I122" s="21" t="str">
        <f>IF('Reel Register'!B122="","",'Reel Register'!L122)</f>
        <v/>
      </c>
      <c r="J122" s="23" t="str">
        <f>IF('Reel Register'!B122="","",'Reel Register'!N122)</f>
        <v/>
      </c>
      <c r="K122" s="24"/>
      <c r="L122" s="24"/>
      <c r="M122" s="24"/>
    </row>
    <row r="123" spans="1:13" x14ac:dyDescent="0.45">
      <c r="A123" s="15" t="str">
        <f>IF('Reel Register'!B123="","",ROW()-3)</f>
        <v/>
      </c>
      <c r="B123" s="23" t="str">
        <f>IF('Reel Register'!B123="","",'Reel Register'!B123)</f>
        <v/>
      </c>
      <c r="C123" s="23" t="str">
        <f>IF('Reel Register'!B123="","",'Reel Register'!C123)</f>
        <v/>
      </c>
      <c r="D123" s="23" t="str">
        <f>IF('Reel Register'!B123="","",'Reel Register'!D123)</f>
        <v/>
      </c>
      <c r="E123" s="23" t="str">
        <f>IF('Reel Register'!B123="","",'Reel Register'!G123)</f>
        <v/>
      </c>
      <c r="F123" s="23" t="str">
        <f>IF('Reel Register'!B123="","",'Reel Register'!E123)</f>
        <v/>
      </c>
      <c r="G123" s="23" t="str">
        <f>IF('Reel Register'!B123="","",'Reel Register'!F123)</f>
        <v/>
      </c>
      <c r="H123" s="23" t="str">
        <f>IF('Reel Register'!B123="","",'Reel Register'!I123)</f>
        <v/>
      </c>
      <c r="I123" s="21" t="str">
        <f>IF('Reel Register'!B123="","",'Reel Register'!L123)</f>
        <v/>
      </c>
      <c r="J123" s="23" t="str">
        <f>IF('Reel Register'!B123="","",'Reel Register'!N123)</f>
        <v/>
      </c>
      <c r="K123" s="24"/>
      <c r="L123" s="24"/>
      <c r="M123" s="24"/>
    </row>
    <row r="124" spans="1:13" x14ac:dyDescent="0.45">
      <c r="A124" s="15" t="str">
        <f>IF('Reel Register'!B124="","",ROW()-3)</f>
        <v/>
      </c>
      <c r="B124" s="23" t="str">
        <f>IF('Reel Register'!B124="","",'Reel Register'!B124)</f>
        <v/>
      </c>
      <c r="C124" s="23" t="str">
        <f>IF('Reel Register'!B124="","",'Reel Register'!C124)</f>
        <v/>
      </c>
      <c r="D124" s="23" t="str">
        <f>IF('Reel Register'!B124="","",'Reel Register'!D124)</f>
        <v/>
      </c>
      <c r="E124" s="23" t="str">
        <f>IF('Reel Register'!B124="","",'Reel Register'!G124)</f>
        <v/>
      </c>
      <c r="F124" s="23" t="str">
        <f>IF('Reel Register'!B124="","",'Reel Register'!E124)</f>
        <v/>
      </c>
      <c r="G124" s="23" t="str">
        <f>IF('Reel Register'!B124="","",'Reel Register'!F124)</f>
        <v/>
      </c>
      <c r="H124" s="23" t="str">
        <f>IF('Reel Register'!B124="","",'Reel Register'!I124)</f>
        <v/>
      </c>
      <c r="I124" s="21" t="str">
        <f>IF('Reel Register'!B124="","",'Reel Register'!L124)</f>
        <v/>
      </c>
      <c r="J124" s="23" t="str">
        <f>IF('Reel Register'!B124="","",'Reel Register'!N124)</f>
        <v/>
      </c>
      <c r="K124" s="24"/>
      <c r="L124" s="24"/>
      <c r="M124" s="24"/>
    </row>
    <row r="125" spans="1:13" x14ac:dyDescent="0.45">
      <c r="A125" s="15" t="str">
        <f>IF('Reel Register'!B125="","",ROW()-3)</f>
        <v/>
      </c>
      <c r="B125" s="23" t="str">
        <f>IF('Reel Register'!B125="","",'Reel Register'!B125)</f>
        <v/>
      </c>
      <c r="C125" s="23" t="str">
        <f>IF('Reel Register'!B125="","",'Reel Register'!C125)</f>
        <v/>
      </c>
      <c r="D125" s="23" t="str">
        <f>IF('Reel Register'!B125="","",'Reel Register'!D125)</f>
        <v/>
      </c>
      <c r="E125" s="23" t="str">
        <f>IF('Reel Register'!B125="","",'Reel Register'!G125)</f>
        <v/>
      </c>
      <c r="F125" s="23" t="str">
        <f>IF('Reel Register'!B125="","",'Reel Register'!E125)</f>
        <v/>
      </c>
      <c r="G125" s="23" t="str">
        <f>IF('Reel Register'!B125="","",'Reel Register'!F125)</f>
        <v/>
      </c>
      <c r="H125" s="23" t="str">
        <f>IF('Reel Register'!B125="","",'Reel Register'!I125)</f>
        <v/>
      </c>
      <c r="I125" s="21" t="str">
        <f>IF('Reel Register'!B125="","",'Reel Register'!L125)</f>
        <v/>
      </c>
      <c r="J125" s="23" t="str">
        <f>IF('Reel Register'!B125="","",'Reel Register'!N125)</f>
        <v/>
      </c>
      <c r="K125" s="24"/>
      <c r="L125" s="24"/>
      <c r="M125" s="24"/>
    </row>
    <row r="126" spans="1:13" x14ac:dyDescent="0.45">
      <c r="A126" s="15" t="str">
        <f>IF('Reel Register'!B126="","",ROW()-3)</f>
        <v/>
      </c>
      <c r="B126" s="23" t="str">
        <f>IF('Reel Register'!B126="","",'Reel Register'!B126)</f>
        <v/>
      </c>
      <c r="C126" s="23" t="str">
        <f>IF('Reel Register'!B126="","",'Reel Register'!C126)</f>
        <v/>
      </c>
      <c r="D126" s="23" t="str">
        <f>IF('Reel Register'!B126="","",'Reel Register'!D126)</f>
        <v/>
      </c>
      <c r="E126" s="23" t="str">
        <f>IF('Reel Register'!B126="","",'Reel Register'!G126)</f>
        <v/>
      </c>
      <c r="F126" s="23" t="str">
        <f>IF('Reel Register'!B126="","",'Reel Register'!E126)</f>
        <v/>
      </c>
      <c r="G126" s="23" t="str">
        <f>IF('Reel Register'!B126="","",'Reel Register'!F126)</f>
        <v/>
      </c>
      <c r="H126" s="23" t="str">
        <f>IF('Reel Register'!B126="","",'Reel Register'!I126)</f>
        <v/>
      </c>
      <c r="I126" s="21" t="str">
        <f>IF('Reel Register'!B126="","",'Reel Register'!L126)</f>
        <v/>
      </c>
      <c r="J126" s="23" t="str">
        <f>IF('Reel Register'!B126="","",'Reel Register'!N126)</f>
        <v/>
      </c>
      <c r="K126" s="24"/>
      <c r="L126" s="24"/>
      <c r="M126" s="24"/>
    </row>
    <row r="127" spans="1:13" x14ac:dyDescent="0.45">
      <c r="A127" s="15" t="str">
        <f>IF('Reel Register'!B127="","",ROW()-3)</f>
        <v/>
      </c>
      <c r="B127" s="23" t="str">
        <f>IF('Reel Register'!B127="","",'Reel Register'!B127)</f>
        <v/>
      </c>
      <c r="C127" s="23" t="str">
        <f>IF('Reel Register'!B127="","",'Reel Register'!C127)</f>
        <v/>
      </c>
      <c r="D127" s="23" t="str">
        <f>IF('Reel Register'!B127="","",'Reel Register'!D127)</f>
        <v/>
      </c>
      <c r="E127" s="23" t="str">
        <f>IF('Reel Register'!B127="","",'Reel Register'!G127)</f>
        <v/>
      </c>
      <c r="F127" s="23" t="str">
        <f>IF('Reel Register'!B127="","",'Reel Register'!E127)</f>
        <v/>
      </c>
      <c r="G127" s="23" t="str">
        <f>IF('Reel Register'!B127="","",'Reel Register'!F127)</f>
        <v/>
      </c>
      <c r="H127" s="23" t="str">
        <f>IF('Reel Register'!B127="","",'Reel Register'!I127)</f>
        <v/>
      </c>
      <c r="I127" s="21" t="str">
        <f>IF('Reel Register'!B127="","",'Reel Register'!L127)</f>
        <v/>
      </c>
      <c r="J127" s="23" t="str">
        <f>IF('Reel Register'!B127="","",'Reel Register'!N127)</f>
        <v/>
      </c>
      <c r="K127" s="24"/>
      <c r="L127" s="24"/>
      <c r="M127" s="24"/>
    </row>
    <row r="128" spans="1:13" x14ac:dyDescent="0.45">
      <c r="A128" s="15" t="str">
        <f>IF('Reel Register'!B128="","",ROW()-3)</f>
        <v/>
      </c>
      <c r="B128" s="23" t="str">
        <f>IF('Reel Register'!B128="","",'Reel Register'!B128)</f>
        <v/>
      </c>
      <c r="C128" s="23" t="str">
        <f>IF('Reel Register'!B128="","",'Reel Register'!C128)</f>
        <v/>
      </c>
      <c r="D128" s="23" t="str">
        <f>IF('Reel Register'!B128="","",'Reel Register'!D128)</f>
        <v/>
      </c>
      <c r="E128" s="23" t="str">
        <f>IF('Reel Register'!B128="","",'Reel Register'!G128)</f>
        <v/>
      </c>
      <c r="F128" s="23" t="str">
        <f>IF('Reel Register'!B128="","",'Reel Register'!E128)</f>
        <v/>
      </c>
      <c r="G128" s="23" t="str">
        <f>IF('Reel Register'!B128="","",'Reel Register'!F128)</f>
        <v/>
      </c>
      <c r="H128" s="23" t="str">
        <f>IF('Reel Register'!B128="","",'Reel Register'!I128)</f>
        <v/>
      </c>
      <c r="I128" s="21" t="str">
        <f>IF('Reel Register'!B128="","",'Reel Register'!L128)</f>
        <v/>
      </c>
      <c r="J128" s="23" t="str">
        <f>IF('Reel Register'!B128="","",'Reel Register'!N128)</f>
        <v/>
      </c>
      <c r="K128" s="24"/>
      <c r="L128" s="24"/>
      <c r="M128" s="24"/>
    </row>
    <row r="129" spans="1:13" x14ac:dyDescent="0.45">
      <c r="A129" s="15" t="str">
        <f>IF('Reel Register'!B129="","",ROW()-3)</f>
        <v/>
      </c>
      <c r="B129" s="23" t="str">
        <f>IF('Reel Register'!B129="","",'Reel Register'!B129)</f>
        <v/>
      </c>
      <c r="C129" s="23" t="str">
        <f>IF('Reel Register'!B129="","",'Reel Register'!C129)</f>
        <v/>
      </c>
      <c r="D129" s="23" t="str">
        <f>IF('Reel Register'!B129="","",'Reel Register'!D129)</f>
        <v/>
      </c>
      <c r="E129" s="23" t="str">
        <f>IF('Reel Register'!B129="","",'Reel Register'!G129)</f>
        <v/>
      </c>
      <c r="F129" s="23" t="str">
        <f>IF('Reel Register'!B129="","",'Reel Register'!E129)</f>
        <v/>
      </c>
      <c r="G129" s="23" t="str">
        <f>IF('Reel Register'!B129="","",'Reel Register'!F129)</f>
        <v/>
      </c>
      <c r="H129" s="23" t="str">
        <f>IF('Reel Register'!B129="","",'Reel Register'!I129)</f>
        <v/>
      </c>
      <c r="I129" s="21" t="str">
        <f>IF('Reel Register'!B129="","",'Reel Register'!L129)</f>
        <v/>
      </c>
      <c r="J129" s="23" t="str">
        <f>IF('Reel Register'!B129="","",'Reel Register'!N129)</f>
        <v/>
      </c>
      <c r="K129" s="24"/>
      <c r="L129" s="24"/>
      <c r="M129" s="24"/>
    </row>
    <row r="130" spans="1:13" x14ac:dyDescent="0.45">
      <c r="A130" s="15" t="str">
        <f>IF('Reel Register'!B130="","",ROW()-3)</f>
        <v/>
      </c>
      <c r="B130" s="23" t="str">
        <f>IF('Reel Register'!B130="","",'Reel Register'!B130)</f>
        <v/>
      </c>
      <c r="C130" s="23" t="str">
        <f>IF('Reel Register'!B130="","",'Reel Register'!C130)</f>
        <v/>
      </c>
      <c r="D130" s="23" t="str">
        <f>IF('Reel Register'!B130="","",'Reel Register'!D130)</f>
        <v/>
      </c>
      <c r="E130" s="23" t="str">
        <f>IF('Reel Register'!B130="","",'Reel Register'!G130)</f>
        <v/>
      </c>
      <c r="F130" s="23" t="str">
        <f>IF('Reel Register'!B130="","",'Reel Register'!E130)</f>
        <v/>
      </c>
      <c r="G130" s="23" t="str">
        <f>IF('Reel Register'!B130="","",'Reel Register'!F130)</f>
        <v/>
      </c>
      <c r="H130" s="23" t="str">
        <f>IF('Reel Register'!B130="","",'Reel Register'!I130)</f>
        <v/>
      </c>
      <c r="I130" s="21" t="str">
        <f>IF('Reel Register'!B130="","",'Reel Register'!L130)</f>
        <v/>
      </c>
      <c r="J130" s="23" t="str">
        <f>IF('Reel Register'!B130="","",'Reel Register'!N130)</f>
        <v/>
      </c>
      <c r="K130" s="24"/>
      <c r="L130" s="24"/>
      <c r="M130" s="24"/>
    </row>
    <row r="131" spans="1:13" x14ac:dyDescent="0.45">
      <c r="A131" s="15" t="str">
        <f>IF('Reel Register'!B131="","",ROW()-3)</f>
        <v/>
      </c>
      <c r="B131" s="23" t="str">
        <f>IF('Reel Register'!B131="","",'Reel Register'!B131)</f>
        <v/>
      </c>
      <c r="C131" s="23" t="str">
        <f>IF('Reel Register'!B131="","",'Reel Register'!C131)</f>
        <v/>
      </c>
      <c r="D131" s="23" t="str">
        <f>IF('Reel Register'!B131="","",'Reel Register'!D131)</f>
        <v/>
      </c>
      <c r="E131" s="23" t="str">
        <f>IF('Reel Register'!B131="","",'Reel Register'!G131)</f>
        <v/>
      </c>
      <c r="F131" s="23" t="str">
        <f>IF('Reel Register'!B131="","",'Reel Register'!E131)</f>
        <v/>
      </c>
      <c r="G131" s="23" t="str">
        <f>IF('Reel Register'!B131="","",'Reel Register'!F131)</f>
        <v/>
      </c>
      <c r="H131" s="23" t="str">
        <f>IF('Reel Register'!B131="","",'Reel Register'!I131)</f>
        <v/>
      </c>
      <c r="I131" s="21" t="str">
        <f>IF('Reel Register'!B131="","",'Reel Register'!L131)</f>
        <v/>
      </c>
      <c r="J131" s="23" t="str">
        <f>IF('Reel Register'!B131="","",'Reel Register'!N131)</f>
        <v/>
      </c>
      <c r="K131" s="24"/>
      <c r="L131" s="24"/>
      <c r="M131" s="24"/>
    </row>
    <row r="132" spans="1:13" x14ac:dyDescent="0.45">
      <c r="A132" s="15" t="str">
        <f>IF('Reel Register'!B132="","",ROW()-3)</f>
        <v/>
      </c>
      <c r="B132" s="23" t="str">
        <f>IF('Reel Register'!B132="","",'Reel Register'!B132)</f>
        <v/>
      </c>
      <c r="C132" s="23" t="str">
        <f>IF('Reel Register'!B132="","",'Reel Register'!C132)</f>
        <v/>
      </c>
      <c r="D132" s="23" t="str">
        <f>IF('Reel Register'!B132="","",'Reel Register'!D132)</f>
        <v/>
      </c>
      <c r="E132" s="23" t="str">
        <f>IF('Reel Register'!B132="","",'Reel Register'!G132)</f>
        <v/>
      </c>
      <c r="F132" s="23" t="str">
        <f>IF('Reel Register'!B132="","",'Reel Register'!E132)</f>
        <v/>
      </c>
      <c r="G132" s="23" t="str">
        <f>IF('Reel Register'!B132="","",'Reel Register'!F132)</f>
        <v/>
      </c>
      <c r="H132" s="23" t="str">
        <f>IF('Reel Register'!B132="","",'Reel Register'!I132)</f>
        <v/>
      </c>
      <c r="I132" s="21" t="str">
        <f>IF('Reel Register'!B132="","",'Reel Register'!L132)</f>
        <v/>
      </c>
      <c r="J132" s="23" t="str">
        <f>IF('Reel Register'!B132="","",'Reel Register'!N132)</f>
        <v/>
      </c>
      <c r="K132" s="24"/>
      <c r="L132" s="24"/>
      <c r="M132" s="24"/>
    </row>
    <row r="133" spans="1:13" x14ac:dyDescent="0.45">
      <c r="A133" s="15" t="str">
        <f>IF('Reel Register'!B133="","",ROW()-3)</f>
        <v/>
      </c>
      <c r="B133" s="23" t="str">
        <f>IF('Reel Register'!B133="","",'Reel Register'!B133)</f>
        <v/>
      </c>
      <c r="C133" s="23" t="str">
        <f>IF('Reel Register'!B133="","",'Reel Register'!C133)</f>
        <v/>
      </c>
      <c r="D133" s="23" t="str">
        <f>IF('Reel Register'!B133="","",'Reel Register'!D133)</f>
        <v/>
      </c>
      <c r="E133" s="23" t="str">
        <f>IF('Reel Register'!B133="","",'Reel Register'!G133)</f>
        <v/>
      </c>
      <c r="F133" s="23" t="str">
        <f>IF('Reel Register'!B133="","",'Reel Register'!E133)</f>
        <v/>
      </c>
      <c r="G133" s="23" t="str">
        <f>IF('Reel Register'!B133="","",'Reel Register'!F133)</f>
        <v/>
      </c>
      <c r="H133" s="23" t="str">
        <f>IF('Reel Register'!B133="","",'Reel Register'!I133)</f>
        <v/>
      </c>
      <c r="I133" s="21" t="str">
        <f>IF('Reel Register'!B133="","",'Reel Register'!L133)</f>
        <v/>
      </c>
      <c r="J133" s="23" t="str">
        <f>IF('Reel Register'!B133="","",'Reel Register'!N133)</f>
        <v/>
      </c>
      <c r="K133" s="24"/>
      <c r="L133" s="24"/>
      <c r="M133" s="24"/>
    </row>
    <row r="134" spans="1:13" x14ac:dyDescent="0.45">
      <c r="A134" s="15" t="str">
        <f>IF('Reel Register'!B134="","",ROW()-3)</f>
        <v/>
      </c>
      <c r="B134" s="23" t="str">
        <f>IF('Reel Register'!B134="","",'Reel Register'!B134)</f>
        <v/>
      </c>
      <c r="C134" s="23" t="str">
        <f>IF('Reel Register'!B134="","",'Reel Register'!C134)</f>
        <v/>
      </c>
      <c r="D134" s="23" t="str">
        <f>IF('Reel Register'!B134="","",'Reel Register'!D134)</f>
        <v/>
      </c>
      <c r="E134" s="23" t="str">
        <f>IF('Reel Register'!B134="","",'Reel Register'!G134)</f>
        <v/>
      </c>
      <c r="F134" s="23" t="str">
        <f>IF('Reel Register'!B134="","",'Reel Register'!E134)</f>
        <v/>
      </c>
      <c r="G134" s="23" t="str">
        <f>IF('Reel Register'!B134="","",'Reel Register'!F134)</f>
        <v/>
      </c>
      <c r="H134" s="23" t="str">
        <f>IF('Reel Register'!B134="","",'Reel Register'!I134)</f>
        <v/>
      </c>
      <c r="I134" s="21" t="str">
        <f>IF('Reel Register'!B134="","",'Reel Register'!L134)</f>
        <v/>
      </c>
      <c r="J134" s="23" t="str">
        <f>IF('Reel Register'!B134="","",'Reel Register'!N134)</f>
        <v/>
      </c>
      <c r="K134" s="24"/>
      <c r="L134" s="24"/>
      <c r="M134" s="24"/>
    </row>
    <row r="135" spans="1:13" x14ac:dyDescent="0.45">
      <c r="A135" s="15" t="str">
        <f>IF('Reel Register'!B135="","",ROW()-3)</f>
        <v/>
      </c>
      <c r="B135" s="23" t="str">
        <f>IF('Reel Register'!B135="","",'Reel Register'!B135)</f>
        <v/>
      </c>
      <c r="C135" s="23" t="str">
        <f>IF('Reel Register'!B135="","",'Reel Register'!C135)</f>
        <v/>
      </c>
      <c r="D135" s="23" t="str">
        <f>IF('Reel Register'!B135="","",'Reel Register'!D135)</f>
        <v/>
      </c>
      <c r="E135" s="23" t="str">
        <f>IF('Reel Register'!B135="","",'Reel Register'!G135)</f>
        <v/>
      </c>
      <c r="F135" s="23" t="str">
        <f>IF('Reel Register'!B135="","",'Reel Register'!E135)</f>
        <v/>
      </c>
      <c r="G135" s="23" t="str">
        <f>IF('Reel Register'!B135="","",'Reel Register'!F135)</f>
        <v/>
      </c>
      <c r="H135" s="23" t="str">
        <f>IF('Reel Register'!B135="","",'Reel Register'!I135)</f>
        <v/>
      </c>
      <c r="I135" s="21" t="str">
        <f>IF('Reel Register'!B135="","",'Reel Register'!L135)</f>
        <v/>
      </c>
      <c r="J135" s="23" t="str">
        <f>IF('Reel Register'!B135="","",'Reel Register'!N135)</f>
        <v/>
      </c>
      <c r="K135" s="24"/>
      <c r="L135" s="24"/>
      <c r="M135" s="24"/>
    </row>
    <row r="136" spans="1:13" x14ac:dyDescent="0.45">
      <c r="A136" s="15" t="str">
        <f>IF('Reel Register'!B136="","",ROW()-3)</f>
        <v/>
      </c>
      <c r="B136" s="23" t="str">
        <f>IF('Reel Register'!B136="","",'Reel Register'!B136)</f>
        <v/>
      </c>
      <c r="C136" s="23" t="str">
        <f>IF('Reel Register'!B136="","",'Reel Register'!C136)</f>
        <v/>
      </c>
      <c r="D136" s="23" t="str">
        <f>IF('Reel Register'!B136="","",'Reel Register'!D136)</f>
        <v/>
      </c>
      <c r="E136" s="23" t="str">
        <f>IF('Reel Register'!B136="","",'Reel Register'!G136)</f>
        <v/>
      </c>
      <c r="F136" s="23" t="str">
        <f>IF('Reel Register'!B136="","",'Reel Register'!E136)</f>
        <v/>
      </c>
      <c r="G136" s="23" t="str">
        <f>IF('Reel Register'!B136="","",'Reel Register'!F136)</f>
        <v/>
      </c>
      <c r="H136" s="23" t="str">
        <f>IF('Reel Register'!B136="","",'Reel Register'!I136)</f>
        <v/>
      </c>
      <c r="I136" s="21" t="str">
        <f>IF('Reel Register'!B136="","",'Reel Register'!L136)</f>
        <v/>
      </c>
      <c r="J136" s="23" t="str">
        <f>IF('Reel Register'!B136="","",'Reel Register'!N136)</f>
        <v/>
      </c>
      <c r="K136" s="24"/>
      <c r="L136" s="24"/>
      <c r="M136" s="24"/>
    </row>
    <row r="137" spans="1:13" x14ac:dyDescent="0.45">
      <c r="A137" s="15" t="str">
        <f>IF('Reel Register'!B137="","",ROW()-3)</f>
        <v/>
      </c>
      <c r="B137" s="23" t="str">
        <f>IF('Reel Register'!B137="","",'Reel Register'!B137)</f>
        <v/>
      </c>
      <c r="C137" s="23" t="str">
        <f>IF('Reel Register'!B137="","",'Reel Register'!C137)</f>
        <v/>
      </c>
      <c r="D137" s="23" t="str">
        <f>IF('Reel Register'!B137="","",'Reel Register'!D137)</f>
        <v/>
      </c>
      <c r="E137" s="23" t="str">
        <f>IF('Reel Register'!B137="","",'Reel Register'!G137)</f>
        <v/>
      </c>
      <c r="F137" s="23" t="str">
        <f>IF('Reel Register'!B137="","",'Reel Register'!E137)</f>
        <v/>
      </c>
      <c r="G137" s="23" t="str">
        <f>IF('Reel Register'!B137="","",'Reel Register'!F137)</f>
        <v/>
      </c>
      <c r="H137" s="23" t="str">
        <f>IF('Reel Register'!B137="","",'Reel Register'!I137)</f>
        <v/>
      </c>
      <c r="I137" s="21" t="str">
        <f>IF('Reel Register'!B137="","",'Reel Register'!L137)</f>
        <v/>
      </c>
      <c r="J137" s="23" t="str">
        <f>IF('Reel Register'!B137="","",'Reel Register'!N137)</f>
        <v/>
      </c>
      <c r="K137" s="24"/>
      <c r="L137" s="24"/>
      <c r="M137" s="24"/>
    </row>
    <row r="138" spans="1:13" x14ac:dyDescent="0.45">
      <c r="A138" s="15" t="str">
        <f>IF('Reel Register'!B138="","",ROW()-3)</f>
        <v/>
      </c>
      <c r="B138" s="23" t="str">
        <f>IF('Reel Register'!B138="","",'Reel Register'!B138)</f>
        <v/>
      </c>
      <c r="C138" s="23" t="str">
        <f>IF('Reel Register'!B138="","",'Reel Register'!C138)</f>
        <v/>
      </c>
      <c r="D138" s="23" t="str">
        <f>IF('Reel Register'!B138="","",'Reel Register'!D138)</f>
        <v/>
      </c>
      <c r="E138" s="23" t="str">
        <f>IF('Reel Register'!B138="","",'Reel Register'!G138)</f>
        <v/>
      </c>
      <c r="F138" s="23" t="str">
        <f>IF('Reel Register'!B138="","",'Reel Register'!E138)</f>
        <v/>
      </c>
      <c r="G138" s="23" t="str">
        <f>IF('Reel Register'!B138="","",'Reel Register'!F138)</f>
        <v/>
      </c>
      <c r="H138" s="23" t="str">
        <f>IF('Reel Register'!B138="","",'Reel Register'!I138)</f>
        <v/>
      </c>
      <c r="I138" s="21" t="str">
        <f>IF('Reel Register'!B138="","",'Reel Register'!L138)</f>
        <v/>
      </c>
      <c r="J138" s="23" t="str">
        <f>IF('Reel Register'!B138="","",'Reel Register'!N138)</f>
        <v/>
      </c>
      <c r="K138" s="24"/>
      <c r="L138" s="24"/>
      <c r="M138" s="24"/>
    </row>
    <row r="139" spans="1:13" x14ac:dyDescent="0.45">
      <c r="A139" s="15" t="str">
        <f>IF('Reel Register'!B139="","",ROW()-3)</f>
        <v/>
      </c>
      <c r="B139" s="23" t="str">
        <f>IF('Reel Register'!B139="","",'Reel Register'!B139)</f>
        <v/>
      </c>
      <c r="C139" s="23" t="str">
        <f>IF('Reel Register'!B139="","",'Reel Register'!C139)</f>
        <v/>
      </c>
      <c r="D139" s="23" t="str">
        <f>IF('Reel Register'!B139="","",'Reel Register'!D139)</f>
        <v/>
      </c>
      <c r="E139" s="23" t="str">
        <f>IF('Reel Register'!B139="","",'Reel Register'!G139)</f>
        <v/>
      </c>
      <c r="F139" s="23" t="str">
        <f>IF('Reel Register'!B139="","",'Reel Register'!E139)</f>
        <v/>
      </c>
      <c r="G139" s="23" t="str">
        <f>IF('Reel Register'!B139="","",'Reel Register'!F139)</f>
        <v/>
      </c>
      <c r="H139" s="23" t="str">
        <f>IF('Reel Register'!B139="","",'Reel Register'!I139)</f>
        <v/>
      </c>
      <c r="I139" s="21" t="str">
        <f>IF('Reel Register'!B139="","",'Reel Register'!L139)</f>
        <v/>
      </c>
      <c r="J139" s="23" t="str">
        <f>IF('Reel Register'!B139="","",'Reel Register'!N139)</f>
        <v/>
      </c>
      <c r="K139" s="24"/>
      <c r="L139" s="24"/>
      <c r="M139" s="24"/>
    </row>
    <row r="140" spans="1:13" x14ac:dyDescent="0.45">
      <c r="A140" s="15" t="str">
        <f>IF('Reel Register'!B140="","",ROW()-3)</f>
        <v/>
      </c>
      <c r="B140" s="23" t="str">
        <f>IF('Reel Register'!B140="","",'Reel Register'!B140)</f>
        <v/>
      </c>
      <c r="C140" s="23" t="str">
        <f>IF('Reel Register'!B140="","",'Reel Register'!C140)</f>
        <v/>
      </c>
      <c r="D140" s="23" t="str">
        <f>IF('Reel Register'!B140="","",'Reel Register'!D140)</f>
        <v/>
      </c>
      <c r="E140" s="23" t="str">
        <f>IF('Reel Register'!B140="","",'Reel Register'!G140)</f>
        <v/>
      </c>
      <c r="F140" s="23" t="str">
        <f>IF('Reel Register'!B140="","",'Reel Register'!E140)</f>
        <v/>
      </c>
      <c r="G140" s="23" t="str">
        <f>IF('Reel Register'!B140="","",'Reel Register'!F140)</f>
        <v/>
      </c>
      <c r="H140" s="23" t="str">
        <f>IF('Reel Register'!B140="","",'Reel Register'!I140)</f>
        <v/>
      </c>
      <c r="I140" s="21" t="str">
        <f>IF('Reel Register'!B140="","",'Reel Register'!L140)</f>
        <v/>
      </c>
      <c r="J140" s="23" t="str">
        <f>IF('Reel Register'!B140="","",'Reel Register'!N140)</f>
        <v/>
      </c>
      <c r="K140" s="24"/>
      <c r="L140" s="24"/>
      <c r="M140" s="24"/>
    </row>
    <row r="141" spans="1:13" x14ac:dyDescent="0.45">
      <c r="A141" s="15" t="str">
        <f>IF('Reel Register'!B141="","",ROW()-3)</f>
        <v/>
      </c>
      <c r="B141" s="23" t="str">
        <f>IF('Reel Register'!B141="","",'Reel Register'!B141)</f>
        <v/>
      </c>
      <c r="C141" s="23" t="str">
        <f>IF('Reel Register'!B141="","",'Reel Register'!C141)</f>
        <v/>
      </c>
      <c r="D141" s="23" t="str">
        <f>IF('Reel Register'!B141="","",'Reel Register'!D141)</f>
        <v/>
      </c>
      <c r="E141" s="23" t="str">
        <f>IF('Reel Register'!B141="","",'Reel Register'!G141)</f>
        <v/>
      </c>
      <c r="F141" s="23" t="str">
        <f>IF('Reel Register'!B141="","",'Reel Register'!E141)</f>
        <v/>
      </c>
      <c r="G141" s="23" t="str">
        <f>IF('Reel Register'!B141="","",'Reel Register'!F141)</f>
        <v/>
      </c>
      <c r="H141" s="23" t="str">
        <f>IF('Reel Register'!B141="","",'Reel Register'!I141)</f>
        <v/>
      </c>
      <c r="I141" s="21" t="str">
        <f>IF('Reel Register'!B141="","",'Reel Register'!L141)</f>
        <v/>
      </c>
      <c r="J141" s="23" t="str">
        <f>IF('Reel Register'!B141="","",'Reel Register'!N141)</f>
        <v/>
      </c>
      <c r="K141" s="24"/>
      <c r="L141" s="24"/>
      <c r="M141" s="24"/>
    </row>
    <row r="142" spans="1:13" x14ac:dyDescent="0.45">
      <c r="A142" s="15" t="str">
        <f>IF('Reel Register'!B142="","",ROW()-3)</f>
        <v/>
      </c>
      <c r="B142" s="23" t="str">
        <f>IF('Reel Register'!B142="","",'Reel Register'!B142)</f>
        <v/>
      </c>
      <c r="C142" s="23" t="str">
        <f>IF('Reel Register'!B142="","",'Reel Register'!C142)</f>
        <v/>
      </c>
      <c r="D142" s="23" t="str">
        <f>IF('Reel Register'!B142="","",'Reel Register'!D142)</f>
        <v/>
      </c>
      <c r="E142" s="23" t="str">
        <f>IF('Reel Register'!B142="","",'Reel Register'!G142)</f>
        <v/>
      </c>
      <c r="F142" s="23" t="str">
        <f>IF('Reel Register'!B142="","",'Reel Register'!E142)</f>
        <v/>
      </c>
      <c r="G142" s="23" t="str">
        <f>IF('Reel Register'!B142="","",'Reel Register'!F142)</f>
        <v/>
      </c>
      <c r="H142" s="23" t="str">
        <f>IF('Reel Register'!B142="","",'Reel Register'!I142)</f>
        <v/>
      </c>
      <c r="I142" s="21" t="str">
        <f>IF('Reel Register'!B142="","",'Reel Register'!L142)</f>
        <v/>
      </c>
      <c r="J142" s="23" t="str">
        <f>IF('Reel Register'!B142="","",'Reel Register'!N142)</f>
        <v/>
      </c>
      <c r="K142" s="24"/>
      <c r="L142" s="24"/>
      <c r="M142" s="24"/>
    </row>
    <row r="143" spans="1:13" x14ac:dyDescent="0.45">
      <c r="A143" s="15" t="str">
        <f>IF('Reel Register'!B143="","",ROW()-3)</f>
        <v/>
      </c>
      <c r="B143" s="23" t="str">
        <f>IF('Reel Register'!B143="","",'Reel Register'!B143)</f>
        <v/>
      </c>
      <c r="C143" s="23" t="str">
        <f>IF('Reel Register'!B143="","",'Reel Register'!C143)</f>
        <v/>
      </c>
      <c r="D143" s="23" t="str">
        <f>IF('Reel Register'!B143="","",'Reel Register'!D143)</f>
        <v/>
      </c>
      <c r="E143" s="23" t="str">
        <f>IF('Reel Register'!B143="","",'Reel Register'!G143)</f>
        <v/>
      </c>
      <c r="F143" s="23" t="str">
        <f>IF('Reel Register'!B143="","",'Reel Register'!E143)</f>
        <v/>
      </c>
      <c r="G143" s="23" t="str">
        <f>IF('Reel Register'!B143="","",'Reel Register'!F143)</f>
        <v/>
      </c>
      <c r="H143" s="23" t="str">
        <f>IF('Reel Register'!B143="","",'Reel Register'!I143)</f>
        <v/>
      </c>
      <c r="I143" s="21" t="str">
        <f>IF('Reel Register'!B143="","",'Reel Register'!L143)</f>
        <v/>
      </c>
      <c r="J143" s="23" t="str">
        <f>IF('Reel Register'!B143="","",'Reel Register'!N143)</f>
        <v/>
      </c>
      <c r="K143" s="24"/>
      <c r="L143" s="24"/>
      <c r="M143" s="24"/>
    </row>
    <row r="144" spans="1:13" x14ac:dyDescent="0.45">
      <c r="A144" s="15" t="str">
        <f>IF('Reel Register'!B144="","",ROW()-3)</f>
        <v/>
      </c>
      <c r="B144" s="23" t="str">
        <f>IF('Reel Register'!B144="","",'Reel Register'!B144)</f>
        <v/>
      </c>
      <c r="C144" s="23" t="str">
        <f>IF('Reel Register'!B144="","",'Reel Register'!C144)</f>
        <v/>
      </c>
      <c r="D144" s="23" t="str">
        <f>IF('Reel Register'!B144="","",'Reel Register'!D144)</f>
        <v/>
      </c>
      <c r="E144" s="23" t="str">
        <f>IF('Reel Register'!B144="","",'Reel Register'!G144)</f>
        <v/>
      </c>
      <c r="F144" s="23" t="str">
        <f>IF('Reel Register'!B144="","",'Reel Register'!E144)</f>
        <v/>
      </c>
      <c r="G144" s="23" t="str">
        <f>IF('Reel Register'!B144="","",'Reel Register'!F144)</f>
        <v/>
      </c>
      <c r="H144" s="23" t="str">
        <f>IF('Reel Register'!B144="","",'Reel Register'!I144)</f>
        <v/>
      </c>
      <c r="I144" s="21" t="str">
        <f>IF('Reel Register'!B144="","",'Reel Register'!L144)</f>
        <v/>
      </c>
      <c r="J144" s="23" t="str">
        <f>IF('Reel Register'!B144="","",'Reel Register'!N144)</f>
        <v/>
      </c>
      <c r="K144" s="24"/>
      <c r="L144" s="24"/>
      <c r="M144" s="24"/>
    </row>
    <row r="145" spans="1:13" x14ac:dyDescent="0.45">
      <c r="A145" s="15" t="str">
        <f>IF('Reel Register'!B145="","",ROW()-3)</f>
        <v/>
      </c>
      <c r="B145" s="23" t="str">
        <f>IF('Reel Register'!B145="","",'Reel Register'!B145)</f>
        <v/>
      </c>
      <c r="C145" s="23" t="str">
        <f>IF('Reel Register'!B145="","",'Reel Register'!C145)</f>
        <v/>
      </c>
      <c r="D145" s="23" t="str">
        <f>IF('Reel Register'!B145="","",'Reel Register'!D145)</f>
        <v/>
      </c>
      <c r="E145" s="23" t="str">
        <f>IF('Reel Register'!B145="","",'Reel Register'!G145)</f>
        <v/>
      </c>
      <c r="F145" s="23" t="str">
        <f>IF('Reel Register'!B145="","",'Reel Register'!E145)</f>
        <v/>
      </c>
      <c r="G145" s="23" t="str">
        <f>IF('Reel Register'!B145="","",'Reel Register'!F145)</f>
        <v/>
      </c>
      <c r="H145" s="23" t="str">
        <f>IF('Reel Register'!B145="","",'Reel Register'!I145)</f>
        <v/>
      </c>
      <c r="I145" s="21" t="str">
        <f>IF('Reel Register'!B145="","",'Reel Register'!L145)</f>
        <v/>
      </c>
      <c r="J145" s="23" t="str">
        <f>IF('Reel Register'!B145="","",'Reel Register'!N145)</f>
        <v/>
      </c>
      <c r="K145" s="24"/>
      <c r="L145" s="24"/>
      <c r="M145" s="24"/>
    </row>
    <row r="146" spans="1:13" x14ac:dyDescent="0.45">
      <c r="A146" s="15" t="str">
        <f>IF('Reel Register'!B146="","",ROW()-3)</f>
        <v/>
      </c>
      <c r="B146" s="23" t="str">
        <f>IF('Reel Register'!B146="","",'Reel Register'!B146)</f>
        <v/>
      </c>
      <c r="C146" s="23" t="str">
        <f>IF('Reel Register'!B146="","",'Reel Register'!C146)</f>
        <v/>
      </c>
      <c r="D146" s="23" t="str">
        <f>IF('Reel Register'!B146="","",'Reel Register'!D146)</f>
        <v/>
      </c>
      <c r="E146" s="23" t="str">
        <f>IF('Reel Register'!B146="","",'Reel Register'!G146)</f>
        <v/>
      </c>
      <c r="F146" s="23" t="str">
        <f>IF('Reel Register'!B146="","",'Reel Register'!E146)</f>
        <v/>
      </c>
      <c r="G146" s="23" t="str">
        <f>IF('Reel Register'!B146="","",'Reel Register'!F146)</f>
        <v/>
      </c>
      <c r="H146" s="23" t="str">
        <f>IF('Reel Register'!B146="","",'Reel Register'!I146)</f>
        <v/>
      </c>
      <c r="I146" s="21" t="str">
        <f>IF('Reel Register'!B146="","",'Reel Register'!L146)</f>
        <v/>
      </c>
      <c r="J146" s="23" t="str">
        <f>IF('Reel Register'!B146="","",'Reel Register'!N146)</f>
        <v/>
      </c>
      <c r="K146" s="24"/>
      <c r="L146" s="24"/>
      <c r="M146" s="24"/>
    </row>
    <row r="147" spans="1:13" x14ac:dyDescent="0.45">
      <c r="A147" s="15" t="str">
        <f>IF('Reel Register'!B147="","",ROW()-3)</f>
        <v/>
      </c>
      <c r="B147" s="23" t="str">
        <f>IF('Reel Register'!B147="","",'Reel Register'!B147)</f>
        <v/>
      </c>
      <c r="C147" s="23" t="str">
        <f>IF('Reel Register'!B147="","",'Reel Register'!C147)</f>
        <v/>
      </c>
      <c r="D147" s="23" t="str">
        <f>IF('Reel Register'!B147="","",'Reel Register'!D147)</f>
        <v/>
      </c>
      <c r="E147" s="23" t="str">
        <f>IF('Reel Register'!B147="","",'Reel Register'!G147)</f>
        <v/>
      </c>
      <c r="F147" s="23" t="str">
        <f>IF('Reel Register'!B147="","",'Reel Register'!E147)</f>
        <v/>
      </c>
      <c r="G147" s="23" t="str">
        <f>IF('Reel Register'!B147="","",'Reel Register'!F147)</f>
        <v/>
      </c>
      <c r="H147" s="23" t="str">
        <f>IF('Reel Register'!B147="","",'Reel Register'!I147)</f>
        <v/>
      </c>
      <c r="I147" s="21" t="str">
        <f>IF('Reel Register'!B147="","",'Reel Register'!L147)</f>
        <v/>
      </c>
      <c r="J147" s="23" t="str">
        <f>IF('Reel Register'!B147="","",'Reel Register'!N147)</f>
        <v/>
      </c>
      <c r="K147" s="24"/>
      <c r="L147" s="24"/>
      <c r="M147" s="24"/>
    </row>
    <row r="148" spans="1:13" x14ac:dyDescent="0.45">
      <c r="A148" s="15" t="str">
        <f>IF('Reel Register'!B148="","",ROW()-3)</f>
        <v/>
      </c>
      <c r="B148" s="23" t="str">
        <f>IF('Reel Register'!B148="","",'Reel Register'!B148)</f>
        <v/>
      </c>
      <c r="C148" s="23" t="str">
        <f>IF('Reel Register'!B148="","",'Reel Register'!C148)</f>
        <v/>
      </c>
      <c r="D148" s="23" t="str">
        <f>IF('Reel Register'!B148="","",'Reel Register'!D148)</f>
        <v/>
      </c>
      <c r="E148" s="23" t="str">
        <f>IF('Reel Register'!B148="","",'Reel Register'!G148)</f>
        <v/>
      </c>
      <c r="F148" s="23" t="str">
        <f>IF('Reel Register'!B148="","",'Reel Register'!E148)</f>
        <v/>
      </c>
      <c r="G148" s="23" t="str">
        <f>IF('Reel Register'!B148="","",'Reel Register'!F148)</f>
        <v/>
      </c>
      <c r="H148" s="23" t="str">
        <f>IF('Reel Register'!B148="","",'Reel Register'!I148)</f>
        <v/>
      </c>
      <c r="I148" s="21" t="str">
        <f>IF('Reel Register'!B148="","",'Reel Register'!L148)</f>
        <v/>
      </c>
      <c r="J148" s="23" t="str">
        <f>IF('Reel Register'!B148="","",'Reel Register'!N148)</f>
        <v/>
      </c>
      <c r="K148" s="24"/>
      <c r="L148" s="24"/>
      <c r="M148" s="24"/>
    </row>
    <row r="149" spans="1:13" x14ac:dyDescent="0.45">
      <c r="A149" s="15" t="str">
        <f>IF('Reel Register'!B149="","",ROW()-3)</f>
        <v/>
      </c>
      <c r="B149" s="23" t="str">
        <f>IF('Reel Register'!B149="","",'Reel Register'!B149)</f>
        <v/>
      </c>
      <c r="C149" s="23" t="str">
        <f>IF('Reel Register'!B149="","",'Reel Register'!C149)</f>
        <v/>
      </c>
      <c r="D149" s="23" t="str">
        <f>IF('Reel Register'!B149="","",'Reel Register'!D149)</f>
        <v/>
      </c>
      <c r="E149" s="23" t="str">
        <f>IF('Reel Register'!B149="","",'Reel Register'!G149)</f>
        <v/>
      </c>
      <c r="F149" s="23" t="str">
        <f>IF('Reel Register'!B149="","",'Reel Register'!E149)</f>
        <v/>
      </c>
      <c r="G149" s="23" t="str">
        <f>IF('Reel Register'!B149="","",'Reel Register'!F149)</f>
        <v/>
      </c>
      <c r="H149" s="23" t="str">
        <f>IF('Reel Register'!B149="","",'Reel Register'!I149)</f>
        <v/>
      </c>
      <c r="I149" s="21" t="str">
        <f>IF('Reel Register'!B149="","",'Reel Register'!L149)</f>
        <v/>
      </c>
      <c r="J149" s="23" t="str">
        <f>IF('Reel Register'!B149="","",'Reel Register'!N149)</f>
        <v/>
      </c>
      <c r="K149" s="24"/>
      <c r="L149" s="24"/>
      <c r="M149" s="24"/>
    </row>
    <row r="150" spans="1:13" x14ac:dyDescent="0.45">
      <c r="A150" s="15" t="str">
        <f>IF('Reel Register'!B150="","",ROW()-3)</f>
        <v/>
      </c>
      <c r="B150" s="23" t="str">
        <f>IF('Reel Register'!B150="","",'Reel Register'!B150)</f>
        <v/>
      </c>
      <c r="C150" s="23" t="str">
        <f>IF('Reel Register'!B150="","",'Reel Register'!C150)</f>
        <v/>
      </c>
      <c r="D150" s="23" t="str">
        <f>IF('Reel Register'!B150="","",'Reel Register'!D150)</f>
        <v/>
      </c>
      <c r="E150" s="23" t="str">
        <f>IF('Reel Register'!B150="","",'Reel Register'!G150)</f>
        <v/>
      </c>
      <c r="F150" s="23" t="str">
        <f>IF('Reel Register'!B150="","",'Reel Register'!E150)</f>
        <v/>
      </c>
      <c r="G150" s="23" t="str">
        <f>IF('Reel Register'!B150="","",'Reel Register'!F150)</f>
        <v/>
      </c>
      <c r="H150" s="23" t="str">
        <f>IF('Reel Register'!B150="","",'Reel Register'!I150)</f>
        <v/>
      </c>
      <c r="I150" s="21" t="str">
        <f>IF('Reel Register'!B150="","",'Reel Register'!L150)</f>
        <v/>
      </c>
      <c r="J150" s="23" t="str">
        <f>IF('Reel Register'!B150="","",'Reel Register'!N150)</f>
        <v/>
      </c>
      <c r="K150" s="24"/>
      <c r="L150" s="24"/>
      <c r="M150" s="24"/>
    </row>
    <row r="151" spans="1:13" x14ac:dyDescent="0.45">
      <c r="A151" s="15" t="str">
        <f>IF('Reel Register'!B151="","",ROW()-3)</f>
        <v/>
      </c>
      <c r="B151" s="23" t="str">
        <f>IF('Reel Register'!B151="","",'Reel Register'!B151)</f>
        <v/>
      </c>
      <c r="C151" s="23" t="str">
        <f>IF('Reel Register'!B151="","",'Reel Register'!C151)</f>
        <v/>
      </c>
      <c r="D151" s="23" t="str">
        <f>IF('Reel Register'!B151="","",'Reel Register'!D151)</f>
        <v/>
      </c>
      <c r="E151" s="23" t="str">
        <f>IF('Reel Register'!B151="","",'Reel Register'!G151)</f>
        <v/>
      </c>
      <c r="F151" s="23" t="str">
        <f>IF('Reel Register'!B151="","",'Reel Register'!E151)</f>
        <v/>
      </c>
      <c r="G151" s="23" t="str">
        <f>IF('Reel Register'!B151="","",'Reel Register'!F151)</f>
        <v/>
      </c>
      <c r="H151" s="23" t="str">
        <f>IF('Reel Register'!B151="","",'Reel Register'!I151)</f>
        <v/>
      </c>
      <c r="I151" s="21" t="str">
        <f>IF('Reel Register'!B151="","",'Reel Register'!L151)</f>
        <v/>
      </c>
      <c r="J151" s="23" t="str">
        <f>IF('Reel Register'!B151="","",'Reel Register'!N151)</f>
        <v/>
      </c>
      <c r="K151" s="24"/>
      <c r="L151" s="24"/>
      <c r="M151" s="24"/>
    </row>
    <row r="152" spans="1:13" x14ac:dyDescent="0.45">
      <c r="A152" s="15" t="str">
        <f>IF('Reel Register'!B152="","",ROW()-3)</f>
        <v/>
      </c>
      <c r="B152" s="23" t="str">
        <f>IF('Reel Register'!B152="","",'Reel Register'!B152)</f>
        <v/>
      </c>
      <c r="C152" s="23" t="str">
        <f>IF('Reel Register'!B152="","",'Reel Register'!C152)</f>
        <v/>
      </c>
      <c r="D152" s="23" t="str">
        <f>IF('Reel Register'!B152="","",'Reel Register'!D152)</f>
        <v/>
      </c>
      <c r="E152" s="23" t="str">
        <f>IF('Reel Register'!B152="","",'Reel Register'!G152)</f>
        <v/>
      </c>
      <c r="F152" s="23" t="str">
        <f>IF('Reel Register'!B152="","",'Reel Register'!E152)</f>
        <v/>
      </c>
      <c r="G152" s="23" t="str">
        <f>IF('Reel Register'!B152="","",'Reel Register'!F152)</f>
        <v/>
      </c>
      <c r="H152" s="23" t="str">
        <f>IF('Reel Register'!B152="","",'Reel Register'!I152)</f>
        <v/>
      </c>
      <c r="I152" s="21" t="str">
        <f>IF('Reel Register'!B152="","",'Reel Register'!L152)</f>
        <v/>
      </c>
      <c r="J152" s="23" t="str">
        <f>IF('Reel Register'!B152="","",'Reel Register'!N152)</f>
        <v/>
      </c>
      <c r="K152" s="24"/>
      <c r="L152" s="24"/>
      <c r="M152" s="24"/>
    </row>
    <row r="153" spans="1:13" x14ac:dyDescent="0.45">
      <c r="A153" s="15" t="str">
        <f>IF('Reel Register'!B153="","",ROW()-3)</f>
        <v/>
      </c>
      <c r="B153" s="23" t="str">
        <f>IF('Reel Register'!B153="","",'Reel Register'!B153)</f>
        <v/>
      </c>
      <c r="C153" s="23" t="str">
        <f>IF('Reel Register'!B153="","",'Reel Register'!C153)</f>
        <v/>
      </c>
      <c r="D153" s="23" t="str">
        <f>IF('Reel Register'!B153="","",'Reel Register'!D153)</f>
        <v/>
      </c>
      <c r="E153" s="23" t="str">
        <f>IF('Reel Register'!B153="","",'Reel Register'!G153)</f>
        <v/>
      </c>
      <c r="F153" s="23" t="str">
        <f>IF('Reel Register'!B153="","",'Reel Register'!E153)</f>
        <v/>
      </c>
      <c r="G153" s="23" t="str">
        <f>IF('Reel Register'!B153="","",'Reel Register'!F153)</f>
        <v/>
      </c>
      <c r="H153" s="23" t="str">
        <f>IF('Reel Register'!B153="","",'Reel Register'!I153)</f>
        <v/>
      </c>
      <c r="I153" s="21" t="str">
        <f>IF('Reel Register'!B153="","",'Reel Register'!L153)</f>
        <v/>
      </c>
      <c r="J153" s="23" t="str">
        <f>IF('Reel Register'!B153="","",'Reel Register'!N153)</f>
        <v/>
      </c>
      <c r="K153" s="24"/>
      <c r="L153" s="24"/>
      <c r="M153" s="24"/>
    </row>
    <row r="154" spans="1:13" x14ac:dyDescent="0.45">
      <c r="A154" s="15" t="str">
        <f>IF('Reel Register'!B154="","",ROW()-3)</f>
        <v/>
      </c>
      <c r="B154" s="23" t="str">
        <f>IF('Reel Register'!B154="","",'Reel Register'!B154)</f>
        <v/>
      </c>
      <c r="C154" s="23" t="str">
        <f>IF('Reel Register'!B154="","",'Reel Register'!C154)</f>
        <v/>
      </c>
      <c r="D154" s="23" t="str">
        <f>IF('Reel Register'!B154="","",'Reel Register'!D154)</f>
        <v/>
      </c>
      <c r="E154" s="23" t="str">
        <f>IF('Reel Register'!B154="","",'Reel Register'!G154)</f>
        <v/>
      </c>
      <c r="F154" s="23" t="str">
        <f>IF('Reel Register'!B154="","",'Reel Register'!E154)</f>
        <v/>
      </c>
      <c r="G154" s="23" t="str">
        <f>IF('Reel Register'!B154="","",'Reel Register'!F154)</f>
        <v/>
      </c>
      <c r="H154" s="23" t="str">
        <f>IF('Reel Register'!B154="","",'Reel Register'!I154)</f>
        <v/>
      </c>
      <c r="I154" s="21" t="str">
        <f>IF('Reel Register'!B154="","",'Reel Register'!L154)</f>
        <v/>
      </c>
      <c r="J154" s="23" t="str">
        <f>IF('Reel Register'!B154="","",'Reel Register'!N154)</f>
        <v/>
      </c>
      <c r="K154" s="24"/>
      <c r="L154" s="24"/>
      <c r="M154" s="24"/>
    </row>
    <row r="155" spans="1:13" x14ac:dyDescent="0.45">
      <c r="A155" s="15" t="str">
        <f>IF('Reel Register'!B155="","",ROW()-3)</f>
        <v/>
      </c>
      <c r="B155" s="23" t="str">
        <f>IF('Reel Register'!B155="","",'Reel Register'!B155)</f>
        <v/>
      </c>
      <c r="C155" s="23" t="str">
        <f>IF('Reel Register'!B155="","",'Reel Register'!C155)</f>
        <v/>
      </c>
      <c r="D155" s="23" t="str">
        <f>IF('Reel Register'!B155="","",'Reel Register'!D155)</f>
        <v/>
      </c>
      <c r="E155" s="23" t="str">
        <f>IF('Reel Register'!B155="","",'Reel Register'!G155)</f>
        <v/>
      </c>
      <c r="F155" s="23" t="str">
        <f>IF('Reel Register'!B155="","",'Reel Register'!E155)</f>
        <v/>
      </c>
      <c r="G155" s="23" t="str">
        <f>IF('Reel Register'!B155="","",'Reel Register'!F155)</f>
        <v/>
      </c>
      <c r="H155" s="23" t="str">
        <f>IF('Reel Register'!B155="","",'Reel Register'!I155)</f>
        <v/>
      </c>
      <c r="I155" s="21" t="str">
        <f>IF('Reel Register'!B155="","",'Reel Register'!L155)</f>
        <v/>
      </c>
      <c r="J155" s="23" t="str">
        <f>IF('Reel Register'!B155="","",'Reel Register'!N155)</f>
        <v/>
      </c>
      <c r="K155" s="24"/>
      <c r="L155" s="24"/>
      <c r="M155" s="24"/>
    </row>
    <row r="156" spans="1:13" x14ac:dyDescent="0.45">
      <c r="A156" s="15" t="str">
        <f>IF('Reel Register'!B156="","",ROW()-3)</f>
        <v/>
      </c>
      <c r="B156" s="23" t="str">
        <f>IF('Reel Register'!B156="","",'Reel Register'!B156)</f>
        <v/>
      </c>
      <c r="C156" s="23" t="str">
        <f>IF('Reel Register'!B156="","",'Reel Register'!C156)</f>
        <v/>
      </c>
      <c r="D156" s="23" t="str">
        <f>IF('Reel Register'!B156="","",'Reel Register'!D156)</f>
        <v/>
      </c>
      <c r="E156" s="23" t="str">
        <f>IF('Reel Register'!B156="","",'Reel Register'!G156)</f>
        <v/>
      </c>
      <c r="F156" s="23" t="str">
        <f>IF('Reel Register'!B156="","",'Reel Register'!E156)</f>
        <v/>
      </c>
      <c r="G156" s="23" t="str">
        <f>IF('Reel Register'!B156="","",'Reel Register'!F156)</f>
        <v/>
      </c>
      <c r="H156" s="23" t="str">
        <f>IF('Reel Register'!B156="","",'Reel Register'!I156)</f>
        <v/>
      </c>
      <c r="I156" s="21" t="str">
        <f>IF('Reel Register'!B156="","",'Reel Register'!L156)</f>
        <v/>
      </c>
      <c r="J156" s="23" t="str">
        <f>IF('Reel Register'!B156="","",'Reel Register'!N156)</f>
        <v/>
      </c>
      <c r="K156" s="24"/>
      <c r="L156" s="24"/>
      <c r="M156" s="24"/>
    </row>
    <row r="157" spans="1:13" x14ac:dyDescent="0.45">
      <c r="A157" s="15" t="str">
        <f>IF('Reel Register'!B157="","",ROW()-3)</f>
        <v/>
      </c>
      <c r="B157" s="23" t="str">
        <f>IF('Reel Register'!B157="","",'Reel Register'!B157)</f>
        <v/>
      </c>
      <c r="C157" s="23" t="str">
        <f>IF('Reel Register'!B157="","",'Reel Register'!C157)</f>
        <v/>
      </c>
      <c r="D157" s="23" t="str">
        <f>IF('Reel Register'!B157="","",'Reel Register'!D157)</f>
        <v/>
      </c>
      <c r="E157" s="23" t="str">
        <f>IF('Reel Register'!B157="","",'Reel Register'!G157)</f>
        <v/>
      </c>
      <c r="F157" s="23" t="str">
        <f>IF('Reel Register'!B157="","",'Reel Register'!E157)</f>
        <v/>
      </c>
      <c r="G157" s="23" t="str">
        <f>IF('Reel Register'!B157="","",'Reel Register'!F157)</f>
        <v/>
      </c>
      <c r="H157" s="23" t="str">
        <f>IF('Reel Register'!B157="","",'Reel Register'!I157)</f>
        <v/>
      </c>
      <c r="I157" s="21" t="str">
        <f>IF('Reel Register'!B157="","",'Reel Register'!L157)</f>
        <v/>
      </c>
      <c r="J157" s="23" t="str">
        <f>IF('Reel Register'!B157="","",'Reel Register'!N157)</f>
        <v/>
      </c>
      <c r="K157" s="24"/>
      <c r="L157" s="24"/>
      <c r="M157" s="24"/>
    </row>
    <row r="158" spans="1:13" x14ac:dyDescent="0.45">
      <c r="A158" s="15" t="str">
        <f>IF('Reel Register'!B158="","",ROW()-3)</f>
        <v/>
      </c>
      <c r="B158" s="23" t="str">
        <f>IF('Reel Register'!B158="","",'Reel Register'!B158)</f>
        <v/>
      </c>
      <c r="C158" s="23" t="str">
        <f>IF('Reel Register'!B158="","",'Reel Register'!C158)</f>
        <v/>
      </c>
      <c r="D158" s="23" t="str">
        <f>IF('Reel Register'!B158="","",'Reel Register'!D158)</f>
        <v/>
      </c>
      <c r="E158" s="23" t="str">
        <f>IF('Reel Register'!B158="","",'Reel Register'!G158)</f>
        <v/>
      </c>
      <c r="F158" s="23" t="str">
        <f>IF('Reel Register'!B158="","",'Reel Register'!E158)</f>
        <v/>
      </c>
      <c r="G158" s="23" t="str">
        <f>IF('Reel Register'!B158="","",'Reel Register'!F158)</f>
        <v/>
      </c>
      <c r="H158" s="23" t="str">
        <f>IF('Reel Register'!B158="","",'Reel Register'!I158)</f>
        <v/>
      </c>
      <c r="I158" s="21" t="str">
        <f>IF('Reel Register'!B158="","",'Reel Register'!L158)</f>
        <v/>
      </c>
      <c r="J158" s="23" t="str">
        <f>IF('Reel Register'!B158="","",'Reel Register'!N158)</f>
        <v/>
      </c>
      <c r="K158" s="24"/>
      <c r="L158" s="24"/>
      <c r="M158" s="24"/>
    </row>
    <row r="159" spans="1:13" x14ac:dyDescent="0.45">
      <c r="A159" s="15" t="str">
        <f>IF('Reel Register'!B159="","",ROW()-3)</f>
        <v/>
      </c>
      <c r="B159" s="23" t="str">
        <f>IF('Reel Register'!B159="","",'Reel Register'!B159)</f>
        <v/>
      </c>
      <c r="C159" s="23" t="str">
        <f>IF('Reel Register'!B159="","",'Reel Register'!C159)</f>
        <v/>
      </c>
      <c r="D159" s="23" t="str">
        <f>IF('Reel Register'!B159="","",'Reel Register'!D159)</f>
        <v/>
      </c>
      <c r="E159" s="23" t="str">
        <f>IF('Reel Register'!B159="","",'Reel Register'!G159)</f>
        <v/>
      </c>
      <c r="F159" s="23" t="str">
        <f>IF('Reel Register'!B159="","",'Reel Register'!E159)</f>
        <v/>
      </c>
      <c r="G159" s="23" t="str">
        <f>IF('Reel Register'!B159="","",'Reel Register'!F159)</f>
        <v/>
      </c>
      <c r="H159" s="23" t="str">
        <f>IF('Reel Register'!B159="","",'Reel Register'!I159)</f>
        <v/>
      </c>
      <c r="I159" s="21" t="str">
        <f>IF('Reel Register'!B159="","",'Reel Register'!L159)</f>
        <v/>
      </c>
      <c r="J159" s="23" t="str">
        <f>IF('Reel Register'!B159="","",'Reel Register'!N159)</f>
        <v/>
      </c>
      <c r="K159" s="24"/>
      <c r="L159" s="24"/>
      <c r="M159" s="24"/>
    </row>
    <row r="160" spans="1:13" x14ac:dyDescent="0.45">
      <c r="A160" s="15" t="str">
        <f>IF('Reel Register'!B160="","",ROW()-3)</f>
        <v/>
      </c>
      <c r="B160" s="23" t="str">
        <f>IF('Reel Register'!B160="","",'Reel Register'!B160)</f>
        <v/>
      </c>
      <c r="C160" s="23" t="str">
        <f>IF('Reel Register'!B160="","",'Reel Register'!C160)</f>
        <v/>
      </c>
      <c r="D160" s="23" t="str">
        <f>IF('Reel Register'!B160="","",'Reel Register'!D160)</f>
        <v/>
      </c>
      <c r="E160" s="23" t="str">
        <f>IF('Reel Register'!B160="","",'Reel Register'!G160)</f>
        <v/>
      </c>
      <c r="F160" s="23" t="str">
        <f>IF('Reel Register'!B160="","",'Reel Register'!E160)</f>
        <v/>
      </c>
      <c r="G160" s="23" t="str">
        <f>IF('Reel Register'!B160="","",'Reel Register'!F160)</f>
        <v/>
      </c>
      <c r="H160" s="23" t="str">
        <f>IF('Reel Register'!B160="","",'Reel Register'!I160)</f>
        <v/>
      </c>
      <c r="I160" s="21" t="str">
        <f>IF('Reel Register'!B160="","",'Reel Register'!L160)</f>
        <v/>
      </c>
      <c r="J160" s="23" t="str">
        <f>IF('Reel Register'!B160="","",'Reel Register'!N160)</f>
        <v/>
      </c>
      <c r="K160" s="24"/>
      <c r="L160" s="24"/>
      <c r="M160" s="24"/>
    </row>
    <row r="161" spans="1:13" x14ac:dyDescent="0.45">
      <c r="A161" s="15" t="str">
        <f>IF('Reel Register'!B161="","",ROW()-3)</f>
        <v/>
      </c>
      <c r="B161" s="23" t="str">
        <f>IF('Reel Register'!B161="","",'Reel Register'!B161)</f>
        <v/>
      </c>
      <c r="C161" s="23" t="str">
        <f>IF('Reel Register'!B161="","",'Reel Register'!C161)</f>
        <v/>
      </c>
      <c r="D161" s="23" t="str">
        <f>IF('Reel Register'!B161="","",'Reel Register'!D161)</f>
        <v/>
      </c>
      <c r="E161" s="23" t="str">
        <f>IF('Reel Register'!B161="","",'Reel Register'!G161)</f>
        <v/>
      </c>
      <c r="F161" s="23" t="str">
        <f>IF('Reel Register'!B161="","",'Reel Register'!E161)</f>
        <v/>
      </c>
      <c r="G161" s="23" t="str">
        <f>IF('Reel Register'!B161="","",'Reel Register'!F161)</f>
        <v/>
      </c>
      <c r="H161" s="23" t="str">
        <f>IF('Reel Register'!B161="","",'Reel Register'!I161)</f>
        <v/>
      </c>
      <c r="I161" s="21" t="str">
        <f>IF('Reel Register'!B161="","",'Reel Register'!L161)</f>
        <v/>
      </c>
      <c r="J161" s="23" t="str">
        <f>IF('Reel Register'!B161="","",'Reel Register'!N161)</f>
        <v/>
      </c>
      <c r="K161" s="24"/>
      <c r="L161" s="24"/>
      <c r="M161" s="24"/>
    </row>
    <row r="162" spans="1:13" x14ac:dyDescent="0.45">
      <c r="A162" s="15" t="str">
        <f>IF('Reel Register'!B162="","",ROW()-3)</f>
        <v/>
      </c>
      <c r="B162" s="23" t="str">
        <f>IF('Reel Register'!B162="","",'Reel Register'!B162)</f>
        <v/>
      </c>
      <c r="C162" s="23" t="str">
        <f>IF('Reel Register'!B162="","",'Reel Register'!C162)</f>
        <v/>
      </c>
      <c r="D162" s="23" t="str">
        <f>IF('Reel Register'!B162="","",'Reel Register'!D162)</f>
        <v/>
      </c>
      <c r="E162" s="23" t="str">
        <f>IF('Reel Register'!B162="","",'Reel Register'!G162)</f>
        <v/>
      </c>
      <c r="F162" s="23" t="str">
        <f>IF('Reel Register'!B162="","",'Reel Register'!E162)</f>
        <v/>
      </c>
      <c r="G162" s="23" t="str">
        <f>IF('Reel Register'!B162="","",'Reel Register'!F162)</f>
        <v/>
      </c>
      <c r="H162" s="23" t="str">
        <f>IF('Reel Register'!B162="","",'Reel Register'!I162)</f>
        <v/>
      </c>
      <c r="I162" s="21" t="str">
        <f>IF('Reel Register'!B162="","",'Reel Register'!L162)</f>
        <v/>
      </c>
      <c r="J162" s="23" t="str">
        <f>IF('Reel Register'!B162="","",'Reel Register'!N162)</f>
        <v/>
      </c>
      <c r="K162" s="24"/>
      <c r="L162" s="24"/>
      <c r="M162" s="24"/>
    </row>
    <row r="163" spans="1:13" x14ac:dyDescent="0.45">
      <c r="A163" s="15" t="str">
        <f>IF('Reel Register'!B163="","",ROW()-3)</f>
        <v/>
      </c>
      <c r="B163" s="23" t="str">
        <f>IF('Reel Register'!B163="","",'Reel Register'!B163)</f>
        <v/>
      </c>
      <c r="C163" s="23" t="str">
        <f>IF('Reel Register'!B163="","",'Reel Register'!C163)</f>
        <v/>
      </c>
      <c r="D163" s="23" t="str">
        <f>IF('Reel Register'!B163="","",'Reel Register'!D163)</f>
        <v/>
      </c>
      <c r="E163" s="23" t="str">
        <f>IF('Reel Register'!B163="","",'Reel Register'!G163)</f>
        <v/>
      </c>
      <c r="F163" s="23" t="str">
        <f>IF('Reel Register'!B163="","",'Reel Register'!E163)</f>
        <v/>
      </c>
      <c r="G163" s="23" t="str">
        <f>IF('Reel Register'!B163="","",'Reel Register'!F163)</f>
        <v/>
      </c>
      <c r="H163" s="23" t="str">
        <f>IF('Reel Register'!B163="","",'Reel Register'!I163)</f>
        <v/>
      </c>
      <c r="I163" s="21" t="str">
        <f>IF('Reel Register'!B163="","",'Reel Register'!L163)</f>
        <v/>
      </c>
      <c r="J163" s="23" t="str">
        <f>IF('Reel Register'!B163="","",'Reel Register'!N163)</f>
        <v/>
      </c>
      <c r="K163" s="24"/>
      <c r="L163" s="24"/>
      <c r="M163" s="24"/>
    </row>
    <row r="164" spans="1:13" x14ac:dyDescent="0.45">
      <c r="A164" s="15" t="str">
        <f>IF('Reel Register'!B164="","",ROW()-3)</f>
        <v/>
      </c>
      <c r="B164" s="23" t="str">
        <f>IF('Reel Register'!B164="","",'Reel Register'!B164)</f>
        <v/>
      </c>
      <c r="C164" s="23" t="str">
        <f>IF('Reel Register'!B164="","",'Reel Register'!C164)</f>
        <v/>
      </c>
      <c r="D164" s="23" t="str">
        <f>IF('Reel Register'!B164="","",'Reel Register'!D164)</f>
        <v/>
      </c>
      <c r="E164" s="23" t="str">
        <f>IF('Reel Register'!B164="","",'Reel Register'!G164)</f>
        <v/>
      </c>
      <c r="F164" s="23" t="str">
        <f>IF('Reel Register'!B164="","",'Reel Register'!E164)</f>
        <v/>
      </c>
      <c r="G164" s="23" t="str">
        <f>IF('Reel Register'!B164="","",'Reel Register'!F164)</f>
        <v/>
      </c>
      <c r="H164" s="23" t="str">
        <f>IF('Reel Register'!B164="","",'Reel Register'!I164)</f>
        <v/>
      </c>
      <c r="I164" s="21" t="str">
        <f>IF('Reel Register'!B164="","",'Reel Register'!L164)</f>
        <v/>
      </c>
      <c r="J164" s="23" t="str">
        <f>IF('Reel Register'!B164="","",'Reel Register'!N164)</f>
        <v/>
      </c>
      <c r="K164" s="24"/>
      <c r="L164" s="24"/>
      <c r="M164" s="24"/>
    </row>
    <row r="165" spans="1:13" x14ac:dyDescent="0.45">
      <c r="A165" s="15" t="str">
        <f>IF('Reel Register'!B165="","",ROW()-3)</f>
        <v/>
      </c>
      <c r="B165" s="23" t="str">
        <f>IF('Reel Register'!B165="","",'Reel Register'!B165)</f>
        <v/>
      </c>
      <c r="C165" s="23" t="str">
        <f>IF('Reel Register'!B165="","",'Reel Register'!C165)</f>
        <v/>
      </c>
      <c r="D165" s="23" t="str">
        <f>IF('Reel Register'!B165="","",'Reel Register'!D165)</f>
        <v/>
      </c>
      <c r="E165" s="23" t="str">
        <f>IF('Reel Register'!B165="","",'Reel Register'!G165)</f>
        <v/>
      </c>
      <c r="F165" s="23" t="str">
        <f>IF('Reel Register'!B165="","",'Reel Register'!E165)</f>
        <v/>
      </c>
      <c r="G165" s="23" t="str">
        <f>IF('Reel Register'!B165="","",'Reel Register'!F165)</f>
        <v/>
      </c>
      <c r="H165" s="23" t="str">
        <f>IF('Reel Register'!B165="","",'Reel Register'!I165)</f>
        <v/>
      </c>
      <c r="I165" s="21" t="str">
        <f>IF('Reel Register'!B165="","",'Reel Register'!L165)</f>
        <v/>
      </c>
      <c r="J165" s="23" t="str">
        <f>IF('Reel Register'!B165="","",'Reel Register'!N165)</f>
        <v/>
      </c>
      <c r="K165" s="24"/>
      <c r="L165" s="24"/>
      <c r="M165" s="24"/>
    </row>
    <row r="166" spans="1:13" x14ac:dyDescent="0.45">
      <c r="A166" s="15" t="str">
        <f>IF('Reel Register'!B166="","",ROW()-3)</f>
        <v/>
      </c>
      <c r="B166" s="23" t="str">
        <f>IF('Reel Register'!B166="","",'Reel Register'!B166)</f>
        <v/>
      </c>
      <c r="C166" s="23" t="str">
        <f>IF('Reel Register'!B166="","",'Reel Register'!C166)</f>
        <v/>
      </c>
      <c r="D166" s="23" t="str">
        <f>IF('Reel Register'!B166="","",'Reel Register'!D166)</f>
        <v/>
      </c>
      <c r="E166" s="23" t="str">
        <f>IF('Reel Register'!B166="","",'Reel Register'!G166)</f>
        <v/>
      </c>
      <c r="F166" s="23" t="str">
        <f>IF('Reel Register'!B166="","",'Reel Register'!E166)</f>
        <v/>
      </c>
      <c r="G166" s="23" t="str">
        <f>IF('Reel Register'!B166="","",'Reel Register'!F166)</f>
        <v/>
      </c>
      <c r="H166" s="23" t="str">
        <f>IF('Reel Register'!B166="","",'Reel Register'!I166)</f>
        <v/>
      </c>
      <c r="I166" s="21" t="str">
        <f>IF('Reel Register'!B166="","",'Reel Register'!L166)</f>
        <v/>
      </c>
      <c r="J166" s="23" t="str">
        <f>IF('Reel Register'!B166="","",'Reel Register'!N166)</f>
        <v/>
      </c>
      <c r="K166" s="24"/>
      <c r="L166" s="24"/>
      <c r="M166" s="24"/>
    </row>
    <row r="167" spans="1:13" x14ac:dyDescent="0.45">
      <c r="A167" s="15" t="str">
        <f>IF('Reel Register'!B167="","",ROW()-3)</f>
        <v/>
      </c>
      <c r="B167" s="23" t="str">
        <f>IF('Reel Register'!B167="","",'Reel Register'!B167)</f>
        <v/>
      </c>
      <c r="C167" s="23" t="str">
        <f>IF('Reel Register'!B167="","",'Reel Register'!C167)</f>
        <v/>
      </c>
      <c r="D167" s="23" t="str">
        <f>IF('Reel Register'!B167="","",'Reel Register'!D167)</f>
        <v/>
      </c>
      <c r="E167" s="23" t="str">
        <f>IF('Reel Register'!B167="","",'Reel Register'!G167)</f>
        <v/>
      </c>
      <c r="F167" s="23" t="str">
        <f>IF('Reel Register'!B167="","",'Reel Register'!E167)</f>
        <v/>
      </c>
      <c r="G167" s="23" t="str">
        <f>IF('Reel Register'!B167="","",'Reel Register'!F167)</f>
        <v/>
      </c>
      <c r="H167" s="23" t="str">
        <f>IF('Reel Register'!B167="","",'Reel Register'!I167)</f>
        <v/>
      </c>
      <c r="I167" s="21" t="str">
        <f>IF('Reel Register'!B167="","",'Reel Register'!L167)</f>
        <v/>
      </c>
      <c r="J167" s="23" t="str">
        <f>IF('Reel Register'!B167="","",'Reel Register'!N167)</f>
        <v/>
      </c>
      <c r="K167" s="24"/>
      <c r="L167" s="24"/>
      <c r="M167" s="24"/>
    </row>
    <row r="168" spans="1:13" x14ac:dyDescent="0.45">
      <c r="A168" s="15" t="str">
        <f>IF('Reel Register'!B168="","",ROW()-3)</f>
        <v/>
      </c>
      <c r="B168" s="23" t="str">
        <f>IF('Reel Register'!B168="","",'Reel Register'!B168)</f>
        <v/>
      </c>
      <c r="C168" s="23" t="str">
        <f>IF('Reel Register'!B168="","",'Reel Register'!C168)</f>
        <v/>
      </c>
      <c r="D168" s="23" t="str">
        <f>IF('Reel Register'!B168="","",'Reel Register'!D168)</f>
        <v/>
      </c>
      <c r="E168" s="23" t="str">
        <f>IF('Reel Register'!B168="","",'Reel Register'!G168)</f>
        <v/>
      </c>
      <c r="F168" s="23" t="str">
        <f>IF('Reel Register'!B168="","",'Reel Register'!E168)</f>
        <v/>
      </c>
      <c r="G168" s="23" t="str">
        <f>IF('Reel Register'!B168="","",'Reel Register'!F168)</f>
        <v/>
      </c>
      <c r="H168" s="23" t="str">
        <f>IF('Reel Register'!B168="","",'Reel Register'!I168)</f>
        <v/>
      </c>
      <c r="I168" s="21" t="str">
        <f>IF('Reel Register'!B168="","",'Reel Register'!L168)</f>
        <v/>
      </c>
      <c r="J168" s="23" t="str">
        <f>IF('Reel Register'!B168="","",'Reel Register'!N168)</f>
        <v/>
      </c>
      <c r="K168" s="24"/>
      <c r="L168" s="24"/>
      <c r="M168" s="24"/>
    </row>
    <row r="169" spans="1:13" x14ac:dyDescent="0.45">
      <c r="A169" s="15" t="str">
        <f>IF('Reel Register'!B169="","",ROW()-3)</f>
        <v/>
      </c>
      <c r="B169" s="23" t="str">
        <f>IF('Reel Register'!B169="","",'Reel Register'!B169)</f>
        <v/>
      </c>
      <c r="C169" s="23" t="str">
        <f>IF('Reel Register'!B169="","",'Reel Register'!C169)</f>
        <v/>
      </c>
      <c r="D169" s="23" t="str">
        <f>IF('Reel Register'!B169="","",'Reel Register'!D169)</f>
        <v/>
      </c>
      <c r="E169" s="23" t="str">
        <f>IF('Reel Register'!B169="","",'Reel Register'!G169)</f>
        <v/>
      </c>
      <c r="F169" s="23" t="str">
        <f>IF('Reel Register'!B169="","",'Reel Register'!E169)</f>
        <v/>
      </c>
      <c r="G169" s="23" t="str">
        <f>IF('Reel Register'!B169="","",'Reel Register'!F169)</f>
        <v/>
      </c>
      <c r="H169" s="23" t="str">
        <f>IF('Reel Register'!B169="","",'Reel Register'!I169)</f>
        <v/>
      </c>
      <c r="I169" s="21" t="str">
        <f>IF('Reel Register'!B169="","",'Reel Register'!L169)</f>
        <v/>
      </c>
      <c r="J169" s="23" t="str">
        <f>IF('Reel Register'!B169="","",'Reel Register'!N169)</f>
        <v/>
      </c>
      <c r="K169" s="24"/>
      <c r="L169" s="24"/>
      <c r="M169" s="24"/>
    </row>
    <row r="170" spans="1:13" x14ac:dyDescent="0.45">
      <c r="A170" s="15" t="str">
        <f>IF('Reel Register'!B170="","",ROW()-3)</f>
        <v/>
      </c>
      <c r="B170" s="23" t="str">
        <f>IF('Reel Register'!B170="","",'Reel Register'!B170)</f>
        <v/>
      </c>
      <c r="C170" s="23" t="str">
        <f>IF('Reel Register'!B170="","",'Reel Register'!C170)</f>
        <v/>
      </c>
      <c r="D170" s="23" t="str">
        <f>IF('Reel Register'!B170="","",'Reel Register'!D170)</f>
        <v/>
      </c>
      <c r="E170" s="23" t="str">
        <f>IF('Reel Register'!B170="","",'Reel Register'!G170)</f>
        <v/>
      </c>
      <c r="F170" s="23" t="str">
        <f>IF('Reel Register'!B170="","",'Reel Register'!E170)</f>
        <v/>
      </c>
      <c r="G170" s="23" t="str">
        <f>IF('Reel Register'!B170="","",'Reel Register'!F170)</f>
        <v/>
      </c>
      <c r="H170" s="23" t="str">
        <f>IF('Reel Register'!B170="","",'Reel Register'!I170)</f>
        <v/>
      </c>
      <c r="I170" s="21" t="str">
        <f>IF('Reel Register'!B170="","",'Reel Register'!L170)</f>
        <v/>
      </c>
      <c r="J170" s="23" t="str">
        <f>IF('Reel Register'!B170="","",'Reel Register'!N170)</f>
        <v/>
      </c>
      <c r="K170" s="24"/>
      <c r="L170" s="24"/>
      <c r="M170" s="24"/>
    </row>
    <row r="171" spans="1:13" x14ac:dyDescent="0.45">
      <c r="A171" s="15" t="str">
        <f>IF('Reel Register'!B171="","",ROW()-3)</f>
        <v/>
      </c>
      <c r="B171" s="23" t="str">
        <f>IF('Reel Register'!B171="","",'Reel Register'!B171)</f>
        <v/>
      </c>
      <c r="C171" s="23" t="str">
        <f>IF('Reel Register'!B171="","",'Reel Register'!C171)</f>
        <v/>
      </c>
      <c r="D171" s="23" t="str">
        <f>IF('Reel Register'!B171="","",'Reel Register'!D171)</f>
        <v/>
      </c>
      <c r="E171" s="23" t="str">
        <f>IF('Reel Register'!B171="","",'Reel Register'!G171)</f>
        <v/>
      </c>
      <c r="F171" s="23" t="str">
        <f>IF('Reel Register'!B171="","",'Reel Register'!E171)</f>
        <v/>
      </c>
      <c r="G171" s="23" t="str">
        <f>IF('Reel Register'!B171="","",'Reel Register'!F171)</f>
        <v/>
      </c>
      <c r="H171" s="23" t="str">
        <f>IF('Reel Register'!B171="","",'Reel Register'!I171)</f>
        <v/>
      </c>
      <c r="I171" s="21" t="str">
        <f>IF('Reel Register'!B171="","",'Reel Register'!L171)</f>
        <v/>
      </c>
      <c r="J171" s="23" t="str">
        <f>IF('Reel Register'!B171="","",'Reel Register'!N171)</f>
        <v/>
      </c>
      <c r="K171" s="24"/>
      <c r="L171" s="24"/>
      <c r="M171" s="24"/>
    </row>
    <row r="172" spans="1:13" x14ac:dyDescent="0.45">
      <c r="A172" s="15" t="str">
        <f>IF('Reel Register'!B172="","",ROW()-3)</f>
        <v/>
      </c>
      <c r="B172" s="23" t="str">
        <f>IF('Reel Register'!B172="","",'Reel Register'!B172)</f>
        <v/>
      </c>
      <c r="C172" s="23" t="str">
        <f>IF('Reel Register'!B172="","",'Reel Register'!C172)</f>
        <v/>
      </c>
      <c r="D172" s="23" t="str">
        <f>IF('Reel Register'!B172="","",'Reel Register'!D172)</f>
        <v/>
      </c>
      <c r="E172" s="23" t="str">
        <f>IF('Reel Register'!B172="","",'Reel Register'!G172)</f>
        <v/>
      </c>
      <c r="F172" s="23" t="str">
        <f>IF('Reel Register'!B172="","",'Reel Register'!E172)</f>
        <v/>
      </c>
      <c r="G172" s="23" t="str">
        <f>IF('Reel Register'!B172="","",'Reel Register'!F172)</f>
        <v/>
      </c>
      <c r="H172" s="23" t="str">
        <f>IF('Reel Register'!B172="","",'Reel Register'!I172)</f>
        <v/>
      </c>
      <c r="I172" s="21" t="str">
        <f>IF('Reel Register'!B172="","",'Reel Register'!L172)</f>
        <v/>
      </c>
      <c r="J172" s="23" t="str">
        <f>IF('Reel Register'!B172="","",'Reel Register'!N172)</f>
        <v/>
      </c>
      <c r="K172" s="24"/>
      <c r="L172" s="24"/>
      <c r="M172" s="24"/>
    </row>
    <row r="173" spans="1:13" x14ac:dyDescent="0.45">
      <c r="A173" s="15" t="str">
        <f>IF('Reel Register'!B173="","",ROW()-3)</f>
        <v/>
      </c>
      <c r="B173" s="23" t="str">
        <f>IF('Reel Register'!B173="","",'Reel Register'!B173)</f>
        <v/>
      </c>
      <c r="C173" s="23" t="str">
        <f>IF('Reel Register'!B173="","",'Reel Register'!C173)</f>
        <v/>
      </c>
      <c r="D173" s="23" t="str">
        <f>IF('Reel Register'!B173="","",'Reel Register'!D173)</f>
        <v/>
      </c>
      <c r="E173" s="23" t="str">
        <f>IF('Reel Register'!B173="","",'Reel Register'!G173)</f>
        <v/>
      </c>
      <c r="F173" s="23" t="str">
        <f>IF('Reel Register'!B173="","",'Reel Register'!E173)</f>
        <v/>
      </c>
      <c r="G173" s="23" t="str">
        <f>IF('Reel Register'!B173="","",'Reel Register'!F173)</f>
        <v/>
      </c>
      <c r="H173" s="23" t="str">
        <f>IF('Reel Register'!B173="","",'Reel Register'!I173)</f>
        <v/>
      </c>
      <c r="I173" s="21" t="str">
        <f>IF('Reel Register'!B173="","",'Reel Register'!L173)</f>
        <v/>
      </c>
      <c r="J173" s="23" t="str">
        <f>IF('Reel Register'!B173="","",'Reel Register'!N173)</f>
        <v/>
      </c>
      <c r="K173" s="24"/>
      <c r="L173" s="24"/>
      <c r="M173" s="24"/>
    </row>
    <row r="174" spans="1:13" x14ac:dyDescent="0.45">
      <c r="A174" s="15" t="str">
        <f>IF('Reel Register'!B174="","",ROW()-3)</f>
        <v/>
      </c>
      <c r="B174" s="23" t="str">
        <f>IF('Reel Register'!B174="","",'Reel Register'!B174)</f>
        <v/>
      </c>
      <c r="C174" s="23" t="str">
        <f>IF('Reel Register'!B174="","",'Reel Register'!C174)</f>
        <v/>
      </c>
      <c r="D174" s="23" t="str">
        <f>IF('Reel Register'!B174="","",'Reel Register'!D174)</f>
        <v/>
      </c>
      <c r="E174" s="23" t="str">
        <f>IF('Reel Register'!B174="","",'Reel Register'!G174)</f>
        <v/>
      </c>
      <c r="F174" s="23" t="str">
        <f>IF('Reel Register'!B174="","",'Reel Register'!E174)</f>
        <v/>
      </c>
      <c r="G174" s="23" t="str">
        <f>IF('Reel Register'!B174="","",'Reel Register'!F174)</f>
        <v/>
      </c>
      <c r="H174" s="23" t="str">
        <f>IF('Reel Register'!B174="","",'Reel Register'!I174)</f>
        <v/>
      </c>
      <c r="I174" s="21" t="str">
        <f>IF('Reel Register'!B174="","",'Reel Register'!L174)</f>
        <v/>
      </c>
      <c r="J174" s="23" t="str">
        <f>IF('Reel Register'!B174="","",'Reel Register'!N174)</f>
        <v/>
      </c>
      <c r="K174" s="24"/>
      <c r="L174" s="24"/>
      <c r="M174" s="24"/>
    </row>
    <row r="175" spans="1:13" x14ac:dyDescent="0.45">
      <c r="A175" s="15" t="str">
        <f>IF('Reel Register'!B175="","",ROW()-3)</f>
        <v/>
      </c>
      <c r="B175" s="23" t="str">
        <f>IF('Reel Register'!B175="","",'Reel Register'!B175)</f>
        <v/>
      </c>
      <c r="C175" s="23" t="str">
        <f>IF('Reel Register'!B175="","",'Reel Register'!C175)</f>
        <v/>
      </c>
      <c r="D175" s="23" t="str">
        <f>IF('Reel Register'!B175="","",'Reel Register'!D175)</f>
        <v/>
      </c>
      <c r="E175" s="23" t="str">
        <f>IF('Reel Register'!B175="","",'Reel Register'!G175)</f>
        <v/>
      </c>
      <c r="F175" s="23" t="str">
        <f>IF('Reel Register'!B175="","",'Reel Register'!E175)</f>
        <v/>
      </c>
      <c r="G175" s="23" t="str">
        <f>IF('Reel Register'!B175="","",'Reel Register'!F175)</f>
        <v/>
      </c>
      <c r="H175" s="23" t="str">
        <f>IF('Reel Register'!B175="","",'Reel Register'!I175)</f>
        <v/>
      </c>
      <c r="I175" s="21" t="str">
        <f>IF('Reel Register'!B175="","",'Reel Register'!L175)</f>
        <v/>
      </c>
      <c r="J175" s="23" t="str">
        <f>IF('Reel Register'!B175="","",'Reel Register'!N175)</f>
        <v/>
      </c>
      <c r="K175" s="24"/>
      <c r="L175" s="24"/>
      <c r="M175" s="24"/>
    </row>
    <row r="176" spans="1:13" x14ac:dyDescent="0.45">
      <c r="A176" s="15" t="str">
        <f>IF('Reel Register'!B176="","",ROW()-3)</f>
        <v/>
      </c>
      <c r="B176" s="23" t="str">
        <f>IF('Reel Register'!B176="","",'Reel Register'!B176)</f>
        <v/>
      </c>
      <c r="C176" s="23" t="str">
        <f>IF('Reel Register'!B176="","",'Reel Register'!C176)</f>
        <v/>
      </c>
      <c r="D176" s="23" t="str">
        <f>IF('Reel Register'!B176="","",'Reel Register'!D176)</f>
        <v/>
      </c>
      <c r="E176" s="23" t="str">
        <f>IF('Reel Register'!B176="","",'Reel Register'!G176)</f>
        <v/>
      </c>
      <c r="F176" s="23" t="str">
        <f>IF('Reel Register'!B176="","",'Reel Register'!E176)</f>
        <v/>
      </c>
      <c r="G176" s="23" t="str">
        <f>IF('Reel Register'!B176="","",'Reel Register'!F176)</f>
        <v/>
      </c>
      <c r="H176" s="23" t="str">
        <f>IF('Reel Register'!B176="","",'Reel Register'!I176)</f>
        <v/>
      </c>
      <c r="I176" s="21" t="str">
        <f>IF('Reel Register'!B176="","",'Reel Register'!L176)</f>
        <v/>
      </c>
      <c r="J176" s="23" t="str">
        <f>IF('Reel Register'!B176="","",'Reel Register'!N176)</f>
        <v/>
      </c>
      <c r="K176" s="24"/>
      <c r="L176" s="24"/>
      <c r="M176" s="24"/>
    </row>
    <row r="177" spans="1:13" x14ac:dyDescent="0.45">
      <c r="A177" s="15" t="str">
        <f>IF('Reel Register'!B177="","",ROW()-3)</f>
        <v/>
      </c>
      <c r="B177" s="23" t="str">
        <f>IF('Reel Register'!B177="","",'Reel Register'!B177)</f>
        <v/>
      </c>
      <c r="C177" s="23" t="str">
        <f>IF('Reel Register'!B177="","",'Reel Register'!C177)</f>
        <v/>
      </c>
      <c r="D177" s="23" t="str">
        <f>IF('Reel Register'!B177="","",'Reel Register'!D177)</f>
        <v/>
      </c>
      <c r="E177" s="23" t="str">
        <f>IF('Reel Register'!B177="","",'Reel Register'!G177)</f>
        <v/>
      </c>
      <c r="F177" s="23" t="str">
        <f>IF('Reel Register'!B177="","",'Reel Register'!E177)</f>
        <v/>
      </c>
      <c r="G177" s="23" t="str">
        <f>IF('Reel Register'!B177="","",'Reel Register'!F177)</f>
        <v/>
      </c>
      <c r="H177" s="23" t="str">
        <f>IF('Reel Register'!B177="","",'Reel Register'!I177)</f>
        <v/>
      </c>
      <c r="I177" s="21" t="str">
        <f>IF('Reel Register'!B177="","",'Reel Register'!L177)</f>
        <v/>
      </c>
      <c r="J177" s="23" t="str">
        <f>IF('Reel Register'!B177="","",'Reel Register'!N177)</f>
        <v/>
      </c>
      <c r="K177" s="24"/>
      <c r="L177" s="24"/>
      <c r="M177" s="24"/>
    </row>
    <row r="178" spans="1:13" x14ac:dyDescent="0.45">
      <c r="A178" s="15" t="str">
        <f>IF('Reel Register'!B178="","",ROW()-3)</f>
        <v/>
      </c>
      <c r="B178" s="23" t="str">
        <f>IF('Reel Register'!B178="","",'Reel Register'!B178)</f>
        <v/>
      </c>
      <c r="C178" s="23" t="str">
        <f>IF('Reel Register'!B178="","",'Reel Register'!C178)</f>
        <v/>
      </c>
      <c r="D178" s="23" t="str">
        <f>IF('Reel Register'!B178="","",'Reel Register'!D178)</f>
        <v/>
      </c>
      <c r="E178" s="23" t="str">
        <f>IF('Reel Register'!B178="","",'Reel Register'!G178)</f>
        <v/>
      </c>
      <c r="F178" s="23" t="str">
        <f>IF('Reel Register'!B178="","",'Reel Register'!E178)</f>
        <v/>
      </c>
      <c r="G178" s="23" t="str">
        <f>IF('Reel Register'!B178="","",'Reel Register'!F178)</f>
        <v/>
      </c>
      <c r="H178" s="23" t="str">
        <f>IF('Reel Register'!B178="","",'Reel Register'!I178)</f>
        <v/>
      </c>
      <c r="I178" s="21" t="str">
        <f>IF('Reel Register'!B178="","",'Reel Register'!L178)</f>
        <v/>
      </c>
      <c r="J178" s="23" t="str">
        <f>IF('Reel Register'!B178="","",'Reel Register'!N178)</f>
        <v/>
      </c>
      <c r="K178" s="24"/>
      <c r="L178" s="24"/>
      <c r="M178" s="24"/>
    </row>
    <row r="179" spans="1:13" x14ac:dyDescent="0.45">
      <c r="A179" s="15" t="str">
        <f>IF('Reel Register'!B179="","",ROW()-3)</f>
        <v/>
      </c>
      <c r="B179" s="23" t="str">
        <f>IF('Reel Register'!B179="","",'Reel Register'!B179)</f>
        <v/>
      </c>
      <c r="C179" s="23" t="str">
        <f>IF('Reel Register'!B179="","",'Reel Register'!C179)</f>
        <v/>
      </c>
      <c r="D179" s="23" t="str">
        <f>IF('Reel Register'!B179="","",'Reel Register'!D179)</f>
        <v/>
      </c>
      <c r="E179" s="23" t="str">
        <f>IF('Reel Register'!B179="","",'Reel Register'!G179)</f>
        <v/>
      </c>
      <c r="F179" s="23" t="str">
        <f>IF('Reel Register'!B179="","",'Reel Register'!E179)</f>
        <v/>
      </c>
      <c r="G179" s="23" t="str">
        <f>IF('Reel Register'!B179="","",'Reel Register'!F179)</f>
        <v/>
      </c>
      <c r="H179" s="23" t="str">
        <f>IF('Reel Register'!B179="","",'Reel Register'!I179)</f>
        <v/>
      </c>
      <c r="I179" s="21" t="str">
        <f>IF('Reel Register'!B179="","",'Reel Register'!L179)</f>
        <v/>
      </c>
      <c r="J179" s="23" t="str">
        <f>IF('Reel Register'!B179="","",'Reel Register'!N179)</f>
        <v/>
      </c>
      <c r="K179" s="24"/>
      <c r="L179" s="24"/>
      <c r="M179" s="24"/>
    </row>
    <row r="180" spans="1:13" x14ac:dyDescent="0.45">
      <c r="A180" s="15" t="str">
        <f>IF('Reel Register'!B180="","",ROW()-3)</f>
        <v/>
      </c>
      <c r="B180" s="23" t="str">
        <f>IF('Reel Register'!B180="","",'Reel Register'!B180)</f>
        <v/>
      </c>
      <c r="C180" s="23" t="str">
        <f>IF('Reel Register'!B180="","",'Reel Register'!C180)</f>
        <v/>
      </c>
      <c r="D180" s="23" t="str">
        <f>IF('Reel Register'!B180="","",'Reel Register'!D180)</f>
        <v/>
      </c>
      <c r="E180" s="23" t="str">
        <f>IF('Reel Register'!B180="","",'Reel Register'!G180)</f>
        <v/>
      </c>
      <c r="F180" s="23" t="str">
        <f>IF('Reel Register'!B180="","",'Reel Register'!E180)</f>
        <v/>
      </c>
      <c r="G180" s="23" t="str">
        <f>IF('Reel Register'!B180="","",'Reel Register'!F180)</f>
        <v/>
      </c>
      <c r="H180" s="23" t="str">
        <f>IF('Reel Register'!B180="","",'Reel Register'!I180)</f>
        <v/>
      </c>
      <c r="I180" s="21" t="str">
        <f>IF('Reel Register'!B180="","",'Reel Register'!L180)</f>
        <v/>
      </c>
      <c r="J180" s="23" t="str">
        <f>IF('Reel Register'!B180="","",'Reel Register'!N180)</f>
        <v/>
      </c>
      <c r="K180" s="24"/>
      <c r="L180" s="24"/>
      <c r="M180" s="24"/>
    </row>
    <row r="181" spans="1:13" x14ac:dyDescent="0.45">
      <c r="A181" s="15" t="str">
        <f>IF('Reel Register'!B181="","",ROW()-3)</f>
        <v/>
      </c>
      <c r="B181" s="23" t="str">
        <f>IF('Reel Register'!B181="","",'Reel Register'!B181)</f>
        <v/>
      </c>
      <c r="C181" s="23" t="str">
        <f>IF('Reel Register'!B181="","",'Reel Register'!C181)</f>
        <v/>
      </c>
      <c r="D181" s="23" t="str">
        <f>IF('Reel Register'!B181="","",'Reel Register'!D181)</f>
        <v/>
      </c>
      <c r="E181" s="23" t="str">
        <f>IF('Reel Register'!B181="","",'Reel Register'!G181)</f>
        <v/>
      </c>
      <c r="F181" s="23" t="str">
        <f>IF('Reel Register'!B181="","",'Reel Register'!E181)</f>
        <v/>
      </c>
      <c r="G181" s="23" t="str">
        <f>IF('Reel Register'!B181="","",'Reel Register'!F181)</f>
        <v/>
      </c>
      <c r="H181" s="23" t="str">
        <f>IF('Reel Register'!B181="","",'Reel Register'!I181)</f>
        <v/>
      </c>
      <c r="I181" s="21" t="str">
        <f>IF('Reel Register'!B181="","",'Reel Register'!L181)</f>
        <v/>
      </c>
      <c r="J181" s="23" t="str">
        <f>IF('Reel Register'!B181="","",'Reel Register'!N181)</f>
        <v/>
      </c>
      <c r="K181" s="24"/>
      <c r="L181" s="24"/>
      <c r="M181" s="24"/>
    </row>
    <row r="182" spans="1:13" x14ac:dyDescent="0.45">
      <c r="A182" s="15" t="str">
        <f>IF('Reel Register'!B182="","",ROW()-3)</f>
        <v/>
      </c>
      <c r="B182" s="23" t="str">
        <f>IF('Reel Register'!B182="","",'Reel Register'!B182)</f>
        <v/>
      </c>
      <c r="C182" s="23" t="str">
        <f>IF('Reel Register'!B182="","",'Reel Register'!C182)</f>
        <v/>
      </c>
      <c r="D182" s="23" t="str">
        <f>IF('Reel Register'!B182="","",'Reel Register'!D182)</f>
        <v/>
      </c>
      <c r="E182" s="23" t="str">
        <f>IF('Reel Register'!B182="","",'Reel Register'!G182)</f>
        <v/>
      </c>
      <c r="F182" s="23" t="str">
        <f>IF('Reel Register'!B182="","",'Reel Register'!E182)</f>
        <v/>
      </c>
      <c r="G182" s="23" t="str">
        <f>IF('Reel Register'!B182="","",'Reel Register'!F182)</f>
        <v/>
      </c>
      <c r="H182" s="23" t="str">
        <f>IF('Reel Register'!B182="","",'Reel Register'!I182)</f>
        <v/>
      </c>
      <c r="I182" s="21" t="str">
        <f>IF('Reel Register'!B182="","",'Reel Register'!L182)</f>
        <v/>
      </c>
      <c r="J182" s="23" t="str">
        <f>IF('Reel Register'!B182="","",'Reel Register'!N182)</f>
        <v/>
      </c>
      <c r="K182" s="24"/>
      <c r="L182" s="24"/>
      <c r="M182" s="24"/>
    </row>
    <row r="183" spans="1:13" x14ac:dyDescent="0.45">
      <c r="A183" s="15" t="str">
        <f>IF('Reel Register'!B183="","",ROW()-3)</f>
        <v/>
      </c>
      <c r="B183" s="23" t="str">
        <f>IF('Reel Register'!B183="","",'Reel Register'!B183)</f>
        <v/>
      </c>
      <c r="C183" s="23" t="str">
        <f>IF('Reel Register'!B183="","",'Reel Register'!C183)</f>
        <v/>
      </c>
      <c r="D183" s="23" t="str">
        <f>IF('Reel Register'!B183="","",'Reel Register'!D183)</f>
        <v/>
      </c>
      <c r="E183" s="23" t="str">
        <f>IF('Reel Register'!B183="","",'Reel Register'!G183)</f>
        <v/>
      </c>
      <c r="F183" s="23" t="str">
        <f>IF('Reel Register'!B183="","",'Reel Register'!E183)</f>
        <v/>
      </c>
      <c r="G183" s="23" t="str">
        <f>IF('Reel Register'!B183="","",'Reel Register'!F183)</f>
        <v/>
      </c>
      <c r="H183" s="23" t="str">
        <f>IF('Reel Register'!B183="","",'Reel Register'!I183)</f>
        <v/>
      </c>
      <c r="I183" s="21" t="str">
        <f>IF('Reel Register'!B183="","",'Reel Register'!L183)</f>
        <v/>
      </c>
      <c r="J183" s="23" t="str">
        <f>IF('Reel Register'!B183="","",'Reel Register'!N183)</f>
        <v/>
      </c>
      <c r="K183" s="24"/>
      <c r="L183" s="24"/>
      <c r="M183" s="24"/>
    </row>
    <row r="184" spans="1:13" x14ac:dyDescent="0.45">
      <c r="A184" s="15" t="str">
        <f>IF('Reel Register'!B184="","",ROW()-3)</f>
        <v/>
      </c>
      <c r="B184" s="23" t="str">
        <f>IF('Reel Register'!B184="","",'Reel Register'!B184)</f>
        <v/>
      </c>
      <c r="C184" s="23" t="str">
        <f>IF('Reel Register'!B184="","",'Reel Register'!C184)</f>
        <v/>
      </c>
      <c r="D184" s="23" t="str">
        <f>IF('Reel Register'!B184="","",'Reel Register'!D184)</f>
        <v/>
      </c>
      <c r="E184" s="23" t="str">
        <f>IF('Reel Register'!B184="","",'Reel Register'!G184)</f>
        <v/>
      </c>
      <c r="F184" s="23" t="str">
        <f>IF('Reel Register'!B184="","",'Reel Register'!E184)</f>
        <v/>
      </c>
      <c r="G184" s="23" t="str">
        <f>IF('Reel Register'!B184="","",'Reel Register'!F184)</f>
        <v/>
      </c>
      <c r="H184" s="23" t="str">
        <f>IF('Reel Register'!B184="","",'Reel Register'!I184)</f>
        <v/>
      </c>
      <c r="I184" s="21" t="str">
        <f>IF('Reel Register'!B184="","",'Reel Register'!L184)</f>
        <v/>
      </c>
      <c r="J184" s="23" t="str">
        <f>IF('Reel Register'!B184="","",'Reel Register'!N184)</f>
        <v/>
      </c>
      <c r="K184" s="24"/>
      <c r="L184" s="24"/>
      <c r="M184" s="24"/>
    </row>
    <row r="185" spans="1:13" x14ac:dyDescent="0.45">
      <c r="A185" s="15" t="str">
        <f>IF('Reel Register'!B185="","",ROW()-3)</f>
        <v/>
      </c>
      <c r="B185" s="23" t="str">
        <f>IF('Reel Register'!B185="","",'Reel Register'!B185)</f>
        <v/>
      </c>
      <c r="C185" s="23" t="str">
        <f>IF('Reel Register'!B185="","",'Reel Register'!C185)</f>
        <v/>
      </c>
      <c r="D185" s="23" t="str">
        <f>IF('Reel Register'!B185="","",'Reel Register'!D185)</f>
        <v/>
      </c>
      <c r="E185" s="23" t="str">
        <f>IF('Reel Register'!B185="","",'Reel Register'!G185)</f>
        <v/>
      </c>
      <c r="F185" s="23" t="str">
        <f>IF('Reel Register'!B185="","",'Reel Register'!E185)</f>
        <v/>
      </c>
      <c r="G185" s="23" t="str">
        <f>IF('Reel Register'!B185="","",'Reel Register'!F185)</f>
        <v/>
      </c>
      <c r="H185" s="23" t="str">
        <f>IF('Reel Register'!B185="","",'Reel Register'!I185)</f>
        <v/>
      </c>
      <c r="I185" s="21" t="str">
        <f>IF('Reel Register'!B185="","",'Reel Register'!L185)</f>
        <v/>
      </c>
      <c r="J185" s="23" t="str">
        <f>IF('Reel Register'!B185="","",'Reel Register'!N185)</f>
        <v/>
      </c>
      <c r="K185" s="24"/>
      <c r="L185" s="24"/>
      <c r="M185" s="24"/>
    </row>
    <row r="186" spans="1:13" x14ac:dyDescent="0.45">
      <c r="A186" s="15" t="str">
        <f>IF('Reel Register'!B186="","",ROW()-3)</f>
        <v/>
      </c>
      <c r="B186" s="23" t="str">
        <f>IF('Reel Register'!B186="","",'Reel Register'!B186)</f>
        <v/>
      </c>
      <c r="C186" s="23" t="str">
        <f>IF('Reel Register'!B186="","",'Reel Register'!C186)</f>
        <v/>
      </c>
      <c r="D186" s="23" t="str">
        <f>IF('Reel Register'!B186="","",'Reel Register'!D186)</f>
        <v/>
      </c>
      <c r="E186" s="23" t="str">
        <f>IF('Reel Register'!B186="","",'Reel Register'!G186)</f>
        <v/>
      </c>
      <c r="F186" s="23" t="str">
        <f>IF('Reel Register'!B186="","",'Reel Register'!E186)</f>
        <v/>
      </c>
      <c r="G186" s="23" t="str">
        <f>IF('Reel Register'!B186="","",'Reel Register'!F186)</f>
        <v/>
      </c>
      <c r="H186" s="23" t="str">
        <f>IF('Reel Register'!B186="","",'Reel Register'!I186)</f>
        <v/>
      </c>
      <c r="I186" s="21" t="str">
        <f>IF('Reel Register'!B186="","",'Reel Register'!L186)</f>
        <v/>
      </c>
      <c r="J186" s="23" t="str">
        <f>IF('Reel Register'!B186="","",'Reel Register'!N186)</f>
        <v/>
      </c>
      <c r="K186" s="24"/>
      <c r="L186" s="24"/>
      <c r="M186" s="24"/>
    </row>
    <row r="187" spans="1:13" x14ac:dyDescent="0.45">
      <c r="A187" s="15" t="str">
        <f>IF('Reel Register'!B187="","",ROW()-3)</f>
        <v/>
      </c>
      <c r="B187" s="23" t="str">
        <f>IF('Reel Register'!B187="","",'Reel Register'!B187)</f>
        <v/>
      </c>
      <c r="C187" s="23" t="str">
        <f>IF('Reel Register'!B187="","",'Reel Register'!C187)</f>
        <v/>
      </c>
      <c r="D187" s="23" t="str">
        <f>IF('Reel Register'!B187="","",'Reel Register'!D187)</f>
        <v/>
      </c>
      <c r="E187" s="23" t="str">
        <f>IF('Reel Register'!B187="","",'Reel Register'!G187)</f>
        <v/>
      </c>
      <c r="F187" s="23" t="str">
        <f>IF('Reel Register'!B187="","",'Reel Register'!E187)</f>
        <v/>
      </c>
      <c r="G187" s="23" t="str">
        <f>IF('Reel Register'!B187="","",'Reel Register'!F187)</f>
        <v/>
      </c>
      <c r="H187" s="23" t="str">
        <f>IF('Reel Register'!B187="","",'Reel Register'!I187)</f>
        <v/>
      </c>
      <c r="I187" s="21" t="str">
        <f>IF('Reel Register'!B187="","",'Reel Register'!L187)</f>
        <v/>
      </c>
      <c r="J187" s="23" t="str">
        <f>IF('Reel Register'!B187="","",'Reel Register'!N187)</f>
        <v/>
      </c>
      <c r="K187" s="24"/>
      <c r="L187" s="24"/>
      <c r="M187" s="24"/>
    </row>
    <row r="188" spans="1:13" x14ac:dyDescent="0.45">
      <c r="A188" s="15" t="str">
        <f>IF('Reel Register'!B188="","",ROW()-3)</f>
        <v/>
      </c>
      <c r="B188" s="23" t="str">
        <f>IF('Reel Register'!B188="","",'Reel Register'!B188)</f>
        <v/>
      </c>
      <c r="C188" s="23" t="str">
        <f>IF('Reel Register'!B188="","",'Reel Register'!C188)</f>
        <v/>
      </c>
      <c r="D188" s="23" t="str">
        <f>IF('Reel Register'!B188="","",'Reel Register'!D188)</f>
        <v/>
      </c>
      <c r="E188" s="23" t="str">
        <f>IF('Reel Register'!B188="","",'Reel Register'!G188)</f>
        <v/>
      </c>
      <c r="F188" s="23" t="str">
        <f>IF('Reel Register'!B188="","",'Reel Register'!E188)</f>
        <v/>
      </c>
      <c r="G188" s="23" t="str">
        <f>IF('Reel Register'!B188="","",'Reel Register'!F188)</f>
        <v/>
      </c>
      <c r="H188" s="23" t="str">
        <f>IF('Reel Register'!B188="","",'Reel Register'!I188)</f>
        <v/>
      </c>
      <c r="I188" s="21" t="str">
        <f>IF('Reel Register'!B188="","",'Reel Register'!L188)</f>
        <v/>
      </c>
      <c r="J188" s="23" t="str">
        <f>IF('Reel Register'!B188="","",'Reel Register'!N188)</f>
        <v/>
      </c>
      <c r="K188" s="24"/>
      <c r="L188" s="24"/>
      <c r="M188" s="24"/>
    </row>
    <row r="189" spans="1:13" x14ac:dyDescent="0.45">
      <c r="A189" s="15" t="str">
        <f>IF('Reel Register'!B189="","",ROW()-3)</f>
        <v/>
      </c>
      <c r="B189" s="23" t="str">
        <f>IF('Reel Register'!B189="","",'Reel Register'!B189)</f>
        <v/>
      </c>
      <c r="C189" s="23" t="str">
        <f>IF('Reel Register'!B189="","",'Reel Register'!C189)</f>
        <v/>
      </c>
      <c r="D189" s="23" t="str">
        <f>IF('Reel Register'!B189="","",'Reel Register'!D189)</f>
        <v/>
      </c>
      <c r="E189" s="23" t="str">
        <f>IF('Reel Register'!B189="","",'Reel Register'!G189)</f>
        <v/>
      </c>
      <c r="F189" s="23" t="str">
        <f>IF('Reel Register'!B189="","",'Reel Register'!E189)</f>
        <v/>
      </c>
      <c r="G189" s="23" t="str">
        <f>IF('Reel Register'!B189="","",'Reel Register'!F189)</f>
        <v/>
      </c>
      <c r="H189" s="23" t="str">
        <f>IF('Reel Register'!B189="","",'Reel Register'!I189)</f>
        <v/>
      </c>
      <c r="I189" s="21" t="str">
        <f>IF('Reel Register'!B189="","",'Reel Register'!L189)</f>
        <v/>
      </c>
      <c r="J189" s="23" t="str">
        <f>IF('Reel Register'!B189="","",'Reel Register'!N189)</f>
        <v/>
      </c>
      <c r="K189" s="24"/>
      <c r="L189" s="24"/>
      <c r="M189" s="24"/>
    </row>
    <row r="190" spans="1:13" x14ac:dyDescent="0.45">
      <c r="A190" s="15" t="str">
        <f>IF('Reel Register'!B190="","",ROW()-3)</f>
        <v/>
      </c>
      <c r="B190" s="23" t="str">
        <f>IF('Reel Register'!B190="","",'Reel Register'!B190)</f>
        <v/>
      </c>
      <c r="C190" s="23" t="str">
        <f>IF('Reel Register'!B190="","",'Reel Register'!C190)</f>
        <v/>
      </c>
      <c r="D190" s="23" t="str">
        <f>IF('Reel Register'!B190="","",'Reel Register'!D190)</f>
        <v/>
      </c>
      <c r="E190" s="23" t="str">
        <f>IF('Reel Register'!B190="","",'Reel Register'!G190)</f>
        <v/>
      </c>
      <c r="F190" s="23" t="str">
        <f>IF('Reel Register'!B190="","",'Reel Register'!E190)</f>
        <v/>
      </c>
      <c r="G190" s="23" t="str">
        <f>IF('Reel Register'!B190="","",'Reel Register'!F190)</f>
        <v/>
      </c>
      <c r="H190" s="23" t="str">
        <f>IF('Reel Register'!B190="","",'Reel Register'!I190)</f>
        <v/>
      </c>
      <c r="I190" s="21" t="str">
        <f>IF('Reel Register'!B190="","",'Reel Register'!L190)</f>
        <v/>
      </c>
      <c r="J190" s="23" t="str">
        <f>IF('Reel Register'!B190="","",'Reel Register'!N190)</f>
        <v/>
      </c>
      <c r="K190" s="24"/>
      <c r="L190" s="24"/>
      <c r="M190" s="24"/>
    </row>
    <row r="191" spans="1:13" x14ac:dyDescent="0.45">
      <c r="A191" s="15" t="str">
        <f>IF('Reel Register'!B191="","",ROW()-3)</f>
        <v/>
      </c>
      <c r="B191" s="23" t="str">
        <f>IF('Reel Register'!B191="","",'Reel Register'!B191)</f>
        <v/>
      </c>
      <c r="C191" s="23" t="str">
        <f>IF('Reel Register'!B191="","",'Reel Register'!C191)</f>
        <v/>
      </c>
      <c r="D191" s="23" t="str">
        <f>IF('Reel Register'!B191="","",'Reel Register'!D191)</f>
        <v/>
      </c>
      <c r="E191" s="23" t="str">
        <f>IF('Reel Register'!B191="","",'Reel Register'!G191)</f>
        <v/>
      </c>
      <c r="F191" s="23" t="str">
        <f>IF('Reel Register'!B191="","",'Reel Register'!E191)</f>
        <v/>
      </c>
      <c r="G191" s="23" t="str">
        <f>IF('Reel Register'!B191="","",'Reel Register'!F191)</f>
        <v/>
      </c>
      <c r="H191" s="23" t="str">
        <f>IF('Reel Register'!B191="","",'Reel Register'!I191)</f>
        <v/>
      </c>
      <c r="I191" s="21" t="str">
        <f>IF('Reel Register'!B191="","",'Reel Register'!L191)</f>
        <v/>
      </c>
      <c r="J191" s="23" t="str">
        <f>IF('Reel Register'!B191="","",'Reel Register'!N191)</f>
        <v/>
      </c>
      <c r="K191" s="24"/>
      <c r="L191" s="24"/>
      <c r="M191" s="24"/>
    </row>
    <row r="192" spans="1:13" x14ac:dyDescent="0.45">
      <c r="A192" s="15" t="str">
        <f>IF('Reel Register'!B192="","",ROW()-3)</f>
        <v/>
      </c>
      <c r="B192" s="23" t="str">
        <f>IF('Reel Register'!B192="","",'Reel Register'!B192)</f>
        <v/>
      </c>
      <c r="C192" s="23" t="str">
        <f>IF('Reel Register'!B192="","",'Reel Register'!C192)</f>
        <v/>
      </c>
      <c r="D192" s="23" t="str">
        <f>IF('Reel Register'!B192="","",'Reel Register'!D192)</f>
        <v/>
      </c>
      <c r="E192" s="23" t="str">
        <f>IF('Reel Register'!B192="","",'Reel Register'!G192)</f>
        <v/>
      </c>
      <c r="F192" s="23" t="str">
        <f>IF('Reel Register'!B192="","",'Reel Register'!E192)</f>
        <v/>
      </c>
      <c r="G192" s="23" t="str">
        <f>IF('Reel Register'!B192="","",'Reel Register'!F192)</f>
        <v/>
      </c>
      <c r="H192" s="23" t="str">
        <f>IF('Reel Register'!B192="","",'Reel Register'!I192)</f>
        <v/>
      </c>
      <c r="I192" s="21" t="str">
        <f>IF('Reel Register'!B192="","",'Reel Register'!L192)</f>
        <v/>
      </c>
      <c r="J192" s="23" t="str">
        <f>IF('Reel Register'!B192="","",'Reel Register'!N192)</f>
        <v/>
      </c>
      <c r="K192" s="24"/>
      <c r="L192" s="24"/>
      <c r="M192" s="24"/>
    </row>
    <row r="193" spans="1:13" x14ac:dyDescent="0.45">
      <c r="A193" s="15" t="str">
        <f>IF('Reel Register'!B193="","",ROW()-3)</f>
        <v/>
      </c>
      <c r="B193" s="23" t="str">
        <f>IF('Reel Register'!B193="","",'Reel Register'!B193)</f>
        <v/>
      </c>
      <c r="C193" s="23" t="str">
        <f>IF('Reel Register'!B193="","",'Reel Register'!C193)</f>
        <v/>
      </c>
      <c r="D193" s="23" t="str">
        <f>IF('Reel Register'!B193="","",'Reel Register'!D193)</f>
        <v/>
      </c>
      <c r="E193" s="23" t="str">
        <f>IF('Reel Register'!B193="","",'Reel Register'!G193)</f>
        <v/>
      </c>
      <c r="F193" s="23" t="str">
        <f>IF('Reel Register'!B193="","",'Reel Register'!E193)</f>
        <v/>
      </c>
      <c r="G193" s="23" t="str">
        <f>IF('Reel Register'!B193="","",'Reel Register'!F193)</f>
        <v/>
      </c>
      <c r="H193" s="23" t="str">
        <f>IF('Reel Register'!B193="","",'Reel Register'!I193)</f>
        <v/>
      </c>
      <c r="I193" s="21" t="str">
        <f>IF('Reel Register'!B193="","",'Reel Register'!L193)</f>
        <v/>
      </c>
      <c r="J193" s="23" t="str">
        <f>IF('Reel Register'!B193="","",'Reel Register'!N193)</f>
        <v/>
      </c>
      <c r="K193" s="24"/>
      <c r="L193" s="24"/>
      <c r="M193" s="24"/>
    </row>
    <row r="194" spans="1:13" x14ac:dyDescent="0.45">
      <c r="A194" s="15" t="str">
        <f>IF('Reel Register'!B194="","",ROW()-3)</f>
        <v/>
      </c>
      <c r="B194" s="23" t="str">
        <f>IF('Reel Register'!B194="","",'Reel Register'!B194)</f>
        <v/>
      </c>
      <c r="C194" s="23" t="str">
        <f>IF('Reel Register'!B194="","",'Reel Register'!C194)</f>
        <v/>
      </c>
      <c r="D194" s="23" t="str">
        <f>IF('Reel Register'!B194="","",'Reel Register'!D194)</f>
        <v/>
      </c>
      <c r="E194" s="23" t="str">
        <f>IF('Reel Register'!B194="","",'Reel Register'!G194)</f>
        <v/>
      </c>
      <c r="F194" s="23" t="str">
        <f>IF('Reel Register'!B194="","",'Reel Register'!E194)</f>
        <v/>
      </c>
      <c r="G194" s="23" t="str">
        <f>IF('Reel Register'!B194="","",'Reel Register'!F194)</f>
        <v/>
      </c>
      <c r="H194" s="23" t="str">
        <f>IF('Reel Register'!B194="","",'Reel Register'!I194)</f>
        <v/>
      </c>
      <c r="I194" s="21" t="str">
        <f>IF('Reel Register'!B194="","",'Reel Register'!L194)</f>
        <v/>
      </c>
      <c r="J194" s="23" t="str">
        <f>IF('Reel Register'!B194="","",'Reel Register'!N194)</f>
        <v/>
      </c>
      <c r="K194" s="24"/>
      <c r="L194" s="24"/>
      <c r="M194" s="24"/>
    </row>
    <row r="195" spans="1:13" x14ac:dyDescent="0.45">
      <c r="A195" s="15" t="str">
        <f>IF('Reel Register'!B195="","",ROW()-3)</f>
        <v/>
      </c>
      <c r="B195" s="23" t="str">
        <f>IF('Reel Register'!B195="","",'Reel Register'!B195)</f>
        <v/>
      </c>
      <c r="C195" s="23" t="str">
        <f>IF('Reel Register'!B195="","",'Reel Register'!C195)</f>
        <v/>
      </c>
      <c r="D195" s="23" t="str">
        <f>IF('Reel Register'!B195="","",'Reel Register'!D195)</f>
        <v/>
      </c>
      <c r="E195" s="23" t="str">
        <f>IF('Reel Register'!B195="","",'Reel Register'!G195)</f>
        <v/>
      </c>
      <c r="F195" s="23" t="str">
        <f>IF('Reel Register'!B195="","",'Reel Register'!E195)</f>
        <v/>
      </c>
      <c r="G195" s="23" t="str">
        <f>IF('Reel Register'!B195="","",'Reel Register'!F195)</f>
        <v/>
      </c>
      <c r="H195" s="23" t="str">
        <f>IF('Reel Register'!B195="","",'Reel Register'!I195)</f>
        <v/>
      </c>
      <c r="I195" s="21" t="str">
        <f>IF('Reel Register'!B195="","",'Reel Register'!L195)</f>
        <v/>
      </c>
      <c r="J195" s="23" t="str">
        <f>IF('Reel Register'!B195="","",'Reel Register'!N195)</f>
        <v/>
      </c>
      <c r="K195" s="24"/>
      <c r="L195" s="24"/>
      <c r="M195" s="24"/>
    </row>
    <row r="196" spans="1:13" x14ac:dyDescent="0.45">
      <c r="A196" s="15" t="str">
        <f>IF('Reel Register'!B196="","",ROW()-3)</f>
        <v/>
      </c>
      <c r="B196" s="23" t="str">
        <f>IF('Reel Register'!B196="","",'Reel Register'!B196)</f>
        <v/>
      </c>
      <c r="C196" s="23" t="str">
        <f>IF('Reel Register'!B196="","",'Reel Register'!C196)</f>
        <v/>
      </c>
      <c r="D196" s="23" t="str">
        <f>IF('Reel Register'!B196="","",'Reel Register'!D196)</f>
        <v/>
      </c>
      <c r="E196" s="23" t="str">
        <f>IF('Reel Register'!B196="","",'Reel Register'!G196)</f>
        <v/>
      </c>
      <c r="F196" s="23" t="str">
        <f>IF('Reel Register'!B196="","",'Reel Register'!E196)</f>
        <v/>
      </c>
      <c r="G196" s="23" t="str">
        <f>IF('Reel Register'!B196="","",'Reel Register'!F196)</f>
        <v/>
      </c>
      <c r="H196" s="23" t="str">
        <f>IF('Reel Register'!B196="","",'Reel Register'!I196)</f>
        <v/>
      </c>
      <c r="I196" s="21" t="str">
        <f>IF('Reel Register'!B196="","",'Reel Register'!L196)</f>
        <v/>
      </c>
      <c r="J196" s="23" t="str">
        <f>IF('Reel Register'!B196="","",'Reel Register'!N196)</f>
        <v/>
      </c>
      <c r="K196" s="24"/>
      <c r="L196" s="24"/>
      <c r="M196" s="24"/>
    </row>
    <row r="197" spans="1:13" x14ac:dyDescent="0.45">
      <c r="A197" s="15" t="str">
        <f>IF('Reel Register'!B197="","",ROW()-3)</f>
        <v/>
      </c>
      <c r="B197" s="23" t="str">
        <f>IF('Reel Register'!B197="","",'Reel Register'!B197)</f>
        <v/>
      </c>
      <c r="C197" s="23" t="str">
        <f>IF('Reel Register'!B197="","",'Reel Register'!C197)</f>
        <v/>
      </c>
      <c r="D197" s="23" t="str">
        <f>IF('Reel Register'!B197="","",'Reel Register'!D197)</f>
        <v/>
      </c>
      <c r="E197" s="23" t="str">
        <f>IF('Reel Register'!B197="","",'Reel Register'!G197)</f>
        <v/>
      </c>
      <c r="F197" s="23" t="str">
        <f>IF('Reel Register'!B197="","",'Reel Register'!E197)</f>
        <v/>
      </c>
      <c r="G197" s="23" t="str">
        <f>IF('Reel Register'!B197="","",'Reel Register'!F197)</f>
        <v/>
      </c>
      <c r="H197" s="23" t="str">
        <f>IF('Reel Register'!B197="","",'Reel Register'!I197)</f>
        <v/>
      </c>
      <c r="I197" s="21" t="str">
        <f>IF('Reel Register'!B197="","",'Reel Register'!L197)</f>
        <v/>
      </c>
      <c r="J197" s="23" t="str">
        <f>IF('Reel Register'!B197="","",'Reel Register'!N197)</f>
        <v/>
      </c>
      <c r="K197" s="24"/>
      <c r="L197" s="24"/>
      <c r="M197" s="24"/>
    </row>
    <row r="198" spans="1:13" x14ac:dyDescent="0.45">
      <c r="A198" s="15" t="str">
        <f>IF('Reel Register'!B198="","",ROW()-3)</f>
        <v/>
      </c>
      <c r="B198" s="23" t="str">
        <f>IF('Reel Register'!B198="","",'Reel Register'!B198)</f>
        <v/>
      </c>
      <c r="C198" s="23" t="str">
        <f>IF('Reel Register'!B198="","",'Reel Register'!C198)</f>
        <v/>
      </c>
      <c r="D198" s="23" t="str">
        <f>IF('Reel Register'!B198="","",'Reel Register'!D198)</f>
        <v/>
      </c>
      <c r="E198" s="23" t="str">
        <f>IF('Reel Register'!B198="","",'Reel Register'!G198)</f>
        <v/>
      </c>
      <c r="F198" s="23" t="str">
        <f>IF('Reel Register'!B198="","",'Reel Register'!E198)</f>
        <v/>
      </c>
      <c r="G198" s="23" t="str">
        <f>IF('Reel Register'!B198="","",'Reel Register'!F198)</f>
        <v/>
      </c>
      <c r="H198" s="23" t="str">
        <f>IF('Reel Register'!B198="","",'Reel Register'!I198)</f>
        <v/>
      </c>
      <c r="I198" s="21" t="str">
        <f>IF('Reel Register'!B198="","",'Reel Register'!L198)</f>
        <v/>
      </c>
      <c r="J198" s="23" t="str">
        <f>IF('Reel Register'!B198="","",'Reel Register'!N198)</f>
        <v/>
      </c>
      <c r="K198" s="24"/>
      <c r="L198" s="24"/>
      <c r="M198" s="24"/>
    </row>
    <row r="199" spans="1:13" x14ac:dyDescent="0.45">
      <c r="A199" s="15" t="str">
        <f>IF('Reel Register'!B199="","",ROW()-3)</f>
        <v/>
      </c>
      <c r="B199" s="23" t="str">
        <f>IF('Reel Register'!B199="","",'Reel Register'!B199)</f>
        <v/>
      </c>
      <c r="C199" s="23" t="str">
        <f>IF('Reel Register'!B199="","",'Reel Register'!C199)</f>
        <v/>
      </c>
      <c r="D199" s="23" t="str">
        <f>IF('Reel Register'!B199="","",'Reel Register'!D199)</f>
        <v/>
      </c>
      <c r="E199" s="23" t="str">
        <f>IF('Reel Register'!B199="","",'Reel Register'!G199)</f>
        <v/>
      </c>
      <c r="F199" s="23" t="str">
        <f>IF('Reel Register'!B199="","",'Reel Register'!E199)</f>
        <v/>
      </c>
      <c r="G199" s="23" t="str">
        <f>IF('Reel Register'!B199="","",'Reel Register'!F199)</f>
        <v/>
      </c>
      <c r="H199" s="23" t="str">
        <f>IF('Reel Register'!B199="","",'Reel Register'!I199)</f>
        <v/>
      </c>
      <c r="I199" s="21" t="str">
        <f>IF('Reel Register'!B199="","",'Reel Register'!L199)</f>
        <v/>
      </c>
      <c r="J199" s="23" t="str">
        <f>IF('Reel Register'!B199="","",'Reel Register'!N199)</f>
        <v/>
      </c>
      <c r="K199" s="24"/>
      <c r="L199" s="24"/>
      <c r="M199" s="24"/>
    </row>
    <row r="200" spans="1:13" x14ac:dyDescent="0.45">
      <c r="A200" s="15" t="str">
        <f>IF('Reel Register'!B200="","",ROW()-3)</f>
        <v/>
      </c>
      <c r="B200" s="23" t="str">
        <f>IF('Reel Register'!B200="","",'Reel Register'!B200)</f>
        <v/>
      </c>
      <c r="C200" s="23" t="str">
        <f>IF('Reel Register'!B200="","",'Reel Register'!C200)</f>
        <v/>
      </c>
      <c r="D200" s="23" t="str">
        <f>IF('Reel Register'!B200="","",'Reel Register'!D200)</f>
        <v/>
      </c>
      <c r="E200" s="23" t="str">
        <f>IF('Reel Register'!B200="","",'Reel Register'!G200)</f>
        <v/>
      </c>
      <c r="F200" s="23" t="str">
        <f>IF('Reel Register'!B200="","",'Reel Register'!E200)</f>
        <v/>
      </c>
      <c r="G200" s="23" t="str">
        <f>IF('Reel Register'!B200="","",'Reel Register'!F200)</f>
        <v/>
      </c>
      <c r="H200" s="23" t="str">
        <f>IF('Reel Register'!B200="","",'Reel Register'!I200)</f>
        <v/>
      </c>
      <c r="I200" s="21" t="str">
        <f>IF('Reel Register'!B200="","",'Reel Register'!L200)</f>
        <v/>
      </c>
      <c r="J200" s="23" t="str">
        <f>IF('Reel Register'!B200="","",'Reel Register'!N200)</f>
        <v/>
      </c>
      <c r="K200" s="24"/>
      <c r="L200" s="24"/>
      <c r="M200" s="24"/>
    </row>
    <row r="201" spans="1:13" x14ac:dyDescent="0.45">
      <c r="A201" s="15" t="str">
        <f>IF('Reel Register'!B201="","",ROW()-3)</f>
        <v/>
      </c>
      <c r="B201" s="23" t="str">
        <f>IF('Reel Register'!B201="","",'Reel Register'!B201)</f>
        <v/>
      </c>
      <c r="C201" s="23" t="str">
        <f>IF('Reel Register'!B201="","",'Reel Register'!C201)</f>
        <v/>
      </c>
      <c r="D201" s="23" t="str">
        <f>IF('Reel Register'!B201="","",'Reel Register'!D201)</f>
        <v/>
      </c>
      <c r="E201" s="23" t="str">
        <f>IF('Reel Register'!B201="","",'Reel Register'!G201)</f>
        <v/>
      </c>
      <c r="F201" s="23" t="str">
        <f>IF('Reel Register'!B201="","",'Reel Register'!E201)</f>
        <v/>
      </c>
      <c r="G201" s="23" t="str">
        <f>IF('Reel Register'!B201="","",'Reel Register'!F201)</f>
        <v/>
      </c>
      <c r="H201" s="23" t="str">
        <f>IF('Reel Register'!B201="","",'Reel Register'!I201)</f>
        <v/>
      </c>
      <c r="I201" s="21" t="str">
        <f>IF('Reel Register'!B201="","",'Reel Register'!L201)</f>
        <v/>
      </c>
      <c r="J201" s="23" t="str">
        <f>IF('Reel Register'!B201="","",'Reel Register'!N201)</f>
        <v/>
      </c>
      <c r="K201" s="24"/>
      <c r="L201" s="24"/>
      <c r="M201" s="24"/>
    </row>
    <row r="202" spans="1:13" x14ac:dyDescent="0.45">
      <c r="A202" s="15" t="str">
        <f>IF('Reel Register'!B202="","",ROW()-3)</f>
        <v/>
      </c>
      <c r="B202" s="23" t="str">
        <f>IF('Reel Register'!B202="","",'Reel Register'!B202)</f>
        <v/>
      </c>
      <c r="C202" s="23" t="str">
        <f>IF('Reel Register'!B202="","",'Reel Register'!C202)</f>
        <v/>
      </c>
      <c r="D202" s="23" t="str">
        <f>IF('Reel Register'!B202="","",'Reel Register'!D202)</f>
        <v/>
      </c>
      <c r="E202" s="23" t="str">
        <f>IF('Reel Register'!B202="","",'Reel Register'!G202)</f>
        <v/>
      </c>
      <c r="F202" s="23" t="str">
        <f>IF('Reel Register'!B202="","",'Reel Register'!E202)</f>
        <v/>
      </c>
      <c r="G202" s="23" t="str">
        <f>IF('Reel Register'!B202="","",'Reel Register'!F202)</f>
        <v/>
      </c>
      <c r="H202" s="23" t="str">
        <f>IF('Reel Register'!B202="","",'Reel Register'!I202)</f>
        <v/>
      </c>
      <c r="I202" s="21" t="str">
        <f>IF('Reel Register'!B202="","",'Reel Register'!L202)</f>
        <v/>
      </c>
      <c r="J202" s="23" t="str">
        <f>IF('Reel Register'!B202="","",'Reel Register'!N202)</f>
        <v/>
      </c>
      <c r="K202" s="24"/>
      <c r="L202" s="24"/>
      <c r="M202" s="24"/>
    </row>
    <row r="203" spans="1:13" x14ac:dyDescent="0.45">
      <c r="A203" s="15" t="str">
        <f>IF('Reel Register'!B203="","",ROW()-3)</f>
        <v/>
      </c>
      <c r="B203" s="23" t="str">
        <f>IF('Reel Register'!B203="","",'Reel Register'!B203)</f>
        <v/>
      </c>
      <c r="C203" s="23" t="str">
        <f>IF('Reel Register'!B203="","",'Reel Register'!C203)</f>
        <v/>
      </c>
      <c r="D203" s="23" t="str">
        <f>IF('Reel Register'!B203="","",'Reel Register'!D203)</f>
        <v/>
      </c>
      <c r="E203" s="23" t="str">
        <f>IF('Reel Register'!B203="","",'Reel Register'!G203)</f>
        <v/>
      </c>
      <c r="F203" s="23" t="str">
        <f>IF('Reel Register'!B203="","",'Reel Register'!E203)</f>
        <v/>
      </c>
      <c r="G203" s="23" t="str">
        <f>IF('Reel Register'!B203="","",'Reel Register'!F203)</f>
        <v/>
      </c>
      <c r="H203" s="23" t="str">
        <f>IF('Reel Register'!B203="","",'Reel Register'!I203)</f>
        <v/>
      </c>
      <c r="I203" s="21" t="str">
        <f>IF('Reel Register'!B203="","",'Reel Register'!L203)</f>
        <v/>
      </c>
      <c r="J203" s="23" t="str">
        <f>IF('Reel Register'!B203="","",'Reel Register'!N203)</f>
        <v/>
      </c>
      <c r="K203" s="24"/>
      <c r="L203" s="24"/>
      <c r="M203" s="24"/>
    </row>
    <row r="205" spans="1:13" x14ac:dyDescent="0.45">
      <c r="A205" s="25" t="s">
        <v>113</v>
      </c>
    </row>
  </sheetData>
  <autoFilter ref="A3:M203" xr:uid="{00000000-0009-0000-0000-000005000000}"/>
  <mergeCells count="2">
    <mergeCell ref="A2:M2"/>
    <mergeCell ref="A1:M1"/>
  </mergeCells>
  <conditionalFormatting sqref="J4:J203">
    <cfRule type="expression" dxfId="1" priority="1">
      <formula>J4="consumed"</formula>
    </cfRule>
    <cfRule type="expression" dxfId="0" priority="2">
      <formula>OR(J4="active",J4="low")</formula>
    </cfRule>
  </conditionalFormatting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Settings</vt:lpstr>
      <vt:lpstr>Reel Register</vt:lpstr>
      <vt:lpstr>Usage Log</vt:lpstr>
      <vt:lpstr>Breakdown</vt:lpstr>
      <vt:lpstr>Physical Verify</vt:lpstr>
      <vt:lpstr>'Physical Verify'!Print_Titles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samant</cp:lastModifiedBy>
  <dcterms:created xsi:type="dcterms:W3CDTF">2026-09-08T15:55:33Z</dcterms:created>
  <dcterms:modified xsi:type="dcterms:W3CDTF">2026-09-08T16:02:45Z</dcterms:modified>
</cp:coreProperties>
</file>